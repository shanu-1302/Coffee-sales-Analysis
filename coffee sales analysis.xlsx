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9\Downloads\"/>
    </mc:Choice>
  </mc:AlternateContent>
  <xr:revisionPtr revIDLastSave="0" documentId="13_ncr:1_{8A64658F-0AA1-4541-8FD9-7F2256AE675F}" xr6:coauthVersionLast="47" xr6:coauthVersionMax="47" xr10:uidLastSave="{00000000-0000-0000-0000-000000000000}"/>
  <bookViews>
    <workbookView xWindow="-110" yWindow="-110" windowWidth="19420" windowHeight="10300" xr2:uid="{B9BE97A0-E244-4790-AF8E-D3DA4CE73FEF}"/>
  </bookViews>
  <sheets>
    <sheet name="DashBoard" sheetId="6" r:id="rId1"/>
    <sheet name="Raw data" sheetId="1" r:id="rId2"/>
    <sheet name="Main Data" sheetId="2" r:id="rId3"/>
    <sheet name="Sampling" sheetId="3" r:id="rId4"/>
    <sheet name="EDA Analysis 1" sheetId="4" r:id="rId5"/>
    <sheet name="EDA Analysis 2" sheetId="5" r:id="rId6"/>
  </sheets>
  <definedNames>
    <definedName name="_xlnm._FilterDatabase" localSheetId="5" hidden="1">'EDA Analysis 2'!$AK$4:$AT$4</definedName>
    <definedName name="_xlnm._FilterDatabase" localSheetId="2" hidden="1">'Main Data'!$A$1:$I$1</definedName>
    <definedName name="coffees">'Main Data'!$I:$I</definedName>
    <definedName name="hour">'Main Data'!$E:$E</definedName>
    <definedName name="Monthdata">'Main Data'!$B:$B</definedName>
    <definedName name="payments">'Main Data'!$F:$F</definedName>
    <definedName name="Revenue">'Main Data'!$H:$H</definedName>
    <definedName name="weekdata">'Main Data'!$C:$C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5" l="1"/>
  <c r="V5" i="5"/>
  <c r="V6" i="5"/>
  <c r="V3" i="5"/>
  <c r="BB8" i="5"/>
  <c r="BC8" i="5"/>
  <c r="BD8" i="5"/>
  <c r="BE8" i="5"/>
  <c r="BF8" i="5"/>
  <c r="BG8" i="5"/>
  <c r="BH8" i="5"/>
  <c r="BI8" i="5"/>
  <c r="E3" i="2" a="1"/>
  <c r="E3" i="2"/>
  <c r="E4" i="2" a="1"/>
  <c r="E4" i="2"/>
  <c r="E5" i="2" a="1"/>
  <c r="E5" i="2"/>
  <c r="E6" i="2" a="1"/>
  <c r="E6" i="2"/>
  <c r="E7" i="2" a="1"/>
  <c r="E7" i="2"/>
  <c r="E8" i="2" a="1"/>
  <c r="E8" i="2"/>
  <c r="E9" i="2" a="1"/>
  <c r="E9" i="2"/>
  <c r="E10" i="2" a="1"/>
  <c r="E10" i="2"/>
  <c r="E11" i="2" a="1"/>
  <c r="E11" i="2"/>
  <c r="E12" i="2" a="1"/>
  <c r="E12" i="2"/>
  <c r="E13" i="2" a="1"/>
  <c r="E13" i="2"/>
  <c r="E14" i="2" a="1"/>
  <c r="E14" i="2"/>
  <c r="E15" i="2" a="1"/>
  <c r="E15" i="2"/>
  <c r="E16" i="2" a="1"/>
  <c r="E16" i="2"/>
  <c r="E17" i="2" a="1"/>
  <c r="E17" i="2"/>
  <c r="E18" i="2" a="1"/>
  <c r="E18" i="2"/>
  <c r="E19" i="2" a="1"/>
  <c r="E19" i="2"/>
  <c r="E20" i="2" a="1"/>
  <c r="E20" i="2"/>
  <c r="E21" i="2" a="1"/>
  <c r="E21" i="2"/>
  <c r="E22" i="2" a="1"/>
  <c r="E22" i="2"/>
  <c r="E23" i="2" a="1"/>
  <c r="E23" i="2"/>
  <c r="E24" i="2" a="1"/>
  <c r="E24" i="2"/>
  <c r="E25" i="2" a="1"/>
  <c r="E25" i="2"/>
  <c r="E26" i="2" a="1"/>
  <c r="E26" i="2"/>
  <c r="E27" i="2" a="1"/>
  <c r="E27" i="2"/>
  <c r="E28" i="2" a="1"/>
  <c r="E28" i="2"/>
  <c r="E29" i="2" a="1"/>
  <c r="E29" i="2"/>
  <c r="E30" i="2" a="1"/>
  <c r="E30" i="2"/>
  <c r="E31" i="2" a="1"/>
  <c r="E31" i="2"/>
  <c r="E32" i="2" a="1"/>
  <c r="E32" i="2"/>
  <c r="E33" i="2" a="1"/>
  <c r="E33" i="2"/>
  <c r="E34" i="2" a="1"/>
  <c r="E34" i="2"/>
  <c r="E35" i="2" a="1"/>
  <c r="E35" i="2"/>
  <c r="E36" i="2" a="1"/>
  <c r="E36" i="2"/>
  <c r="E37" i="2" a="1"/>
  <c r="E37" i="2"/>
  <c r="E38" i="2" a="1"/>
  <c r="E38" i="2"/>
  <c r="E39" i="2" a="1"/>
  <c r="E39" i="2"/>
  <c r="E40" i="2" a="1"/>
  <c r="E40" i="2"/>
  <c r="E41" i="2" a="1"/>
  <c r="E41" i="2"/>
  <c r="E42" i="2" a="1"/>
  <c r="E42" i="2"/>
  <c r="E43" i="2" a="1"/>
  <c r="E43" i="2"/>
  <c r="E44" i="2" a="1"/>
  <c r="E44" i="2"/>
  <c r="E45" i="2" a="1"/>
  <c r="E45" i="2"/>
  <c r="E46" i="2" a="1"/>
  <c r="E46" i="2"/>
  <c r="E47" i="2" a="1"/>
  <c r="E47" i="2"/>
  <c r="E48" i="2" a="1"/>
  <c r="E48" i="2"/>
  <c r="E49" i="2" a="1"/>
  <c r="E49" i="2"/>
  <c r="E50" i="2" a="1"/>
  <c r="E50" i="2"/>
  <c r="E51" i="2" a="1"/>
  <c r="E51" i="2"/>
  <c r="E52" i="2" a="1"/>
  <c r="E52" i="2"/>
  <c r="E53" i="2" a="1"/>
  <c r="E53" i="2"/>
  <c r="E54" i="2" a="1"/>
  <c r="E54" i="2"/>
  <c r="E55" i="2" a="1"/>
  <c r="E55" i="2"/>
  <c r="E56" i="2" a="1"/>
  <c r="E56" i="2"/>
  <c r="E57" i="2" a="1"/>
  <c r="E57" i="2"/>
  <c r="E58" i="2" a="1"/>
  <c r="E58" i="2"/>
  <c r="E59" i="2" a="1"/>
  <c r="E59" i="2"/>
  <c r="E60" i="2" a="1"/>
  <c r="E60" i="2"/>
  <c r="E61" i="2" a="1"/>
  <c r="E61" i="2"/>
  <c r="E62" i="2" a="1"/>
  <c r="E62" i="2"/>
  <c r="E63" i="2" a="1"/>
  <c r="E63" i="2"/>
  <c r="E64" i="2" a="1"/>
  <c r="E64" i="2"/>
  <c r="E65" i="2" a="1"/>
  <c r="E65" i="2"/>
  <c r="E66" i="2" a="1"/>
  <c r="E66" i="2"/>
  <c r="E67" i="2" a="1"/>
  <c r="E67" i="2"/>
  <c r="E68" i="2" a="1"/>
  <c r="E68" i="2"/>
  <c r="E69" i="2" a="1"/>
  <c r="E69" i="2"/>
  <c r="E70" i="2" a="1"/>
  <c r="E70" i="2"/>
  <c r="E71" i="2" a="1"/>
  <c r="E71" i="2"/>
  <c r="E72" i="2" a="1"/>
  <c r="E72" i="2"/>
  <c r="E73" i="2" a="1"/>
  <c r="E73" i="2"/>
  <c r="E74" i="2" a="1"/>
  <c r="E74" i="2"/>
  <c r="E75" i="2" a="1"/>
  <c r="E75" i="2"/>
  <c r="E76" i="2" a="1"/>
  <c r="E76" i="2"/>
  <c r="E77" i="2" a="1"/>
  <c r="E77" i="2"/>
  <c r="E78" i="2" a="1"/>
  <c r="E78" i="2"/>
  <c r="E79" i="2" a="1"/>
  <c r="E79" i="2"/>
  <c r="E80" i="2" a="1"/>
  <c r="E80" i="2"/>
  <c r="E81" i="2" a="1"/>
  <c r="E81" i="2"/>
  <c r="E82" i="2" a="1"/>
  <c r="E82" i="2"/>
  <c r="E83" i="2" a="1"/>
  <c r="E83" i="2"/>
  <c r="E84" i="2" a="1"/>
  <c r="E84" i="2"/>
  <c r="E85" i="2" a="1"/>
  <c r="E85" i="2"/>
  <c r="E86" i="2" a="1"/>
  <c r="E86" i="2"/>
  <c r="E87" i="2" a="1"/>
  <c r="E87" i="2"/>
  <c r="E88" i="2" a="1"/>
  <c r="E88" i="2"/>
  <c r="E89" i="2" a="1"/>
  <c r="E89" i="2"/>
  <c r="E90" i="2" a="1"/>
  <c r="E90" i="2"/>
  <c r="E91" i="2" a="1"/>
  <c r="E91" i="2"/>
  <c r="E92" i="2" a="1"/>
  <c r="E92" i="2"/>
  <c r="E93" i="2" a="1"/>
  <c r="E93" i="2"/>
  <c r="E94" i="2" a="1"/>
  <c r="E94" i="2"/>
  <c r="E95" i="2" a="1"/>
  <c r="E95" i="2"/>
  <c r="E96" i="2" a="1"/>
  <c r="E96" i="2"/>
  <c r="E97" i="2" a="1"/>
  <c r="E97" i="2"/>
  <c r="E98" i="2" a="1"/>
  <c r="E98" i="2"/>
  <c r="E99" i="2" a="1"/>
  <c r="E99" i="2"/>
  <c r="E100" i="2" a="1"/>
  <c r="E100" i="2"/>
  <c r="E101" i="2" a="1"/>
  <c r="E101" i="2"/>
  <c r="E102" i="2" a="1"/>
  <c r="E102" i="2"/>
  <c r="E103" i="2" a="1"/>
  <c r="E103" i="2"/>
  <c r="E104" i="2" a="1"/>
  <c r="E104" i="2"/>
  <c r="E105" i="2" a="1"/>
  <c r="E105" i="2"/>
  <c r="E106" i="2" a="1"/>
  <c r="E106" i="2"/>
  <c r="E107" i="2" a="1"/>
  <c r="E107" i="2"/>
  <c r="E108" i="2" a="1"/>
  <c r="E108" i="2"/>
  <c r="E109" i="2" a="1"/>
  <c r="E109" i="2"/>
  <c r="E110" i="2" a="1"/>
  <c r="E110" i="2"/>
  <c r="E111" i="2" a="1"/>
  <c r="E111" i="2"/>
  <c r="E112" i="2" a="1"/>
  <c r="E112" i="2"/>
  <c r="E113" i="2" a="1"/>
  <c r="E113" i="2"/>
  <c r="E114" i="2" a="1"/>
  <c r="E114" i="2"/>
  <c r="E115" i="2" a="1"/>
  <c r="E115" i="2"/>
  <c r="E116" i="2" a="1"/>
  <c r="E116" i="2"/>
  <c r="E117" i="2" a="1"/>
  <c r="E117" i="2"/>
  <c r="E118" i="2" a="1"/>
  <c r="E118" i="2"/>
  <c r="E119" i="2" a="1"/>
  <c r="E119" i="2"/>
  <c r="E120" i="2" a="1"/>
  <c r="E120" i="2"/>
  <c r="E121" i="2" a="1"/>
  <c r="E121" i="2"/>
  <c r="E122" i="2" a="1"/>
  <c r="E122" i="2"/>
  <c r="E123" i="2" a="1"/>
  <c r="E123" i="2"/>
  <c r="E124" i="2" a="1"/>
  <c r="E124" i="2"/>
  <c r="E125" i="2" a="1"/>
  <c r="E125" i="2"/>
  <c r="E126" i="2" a="1"/>
  <c r="E126" i="2"/>
  <c r="E127" i="2" a="1"/>
  <c r="E127" i="2"/>
  <c r="E128" i="2" a="1"/>
  <c r="E128" i="2"/>
  <c r="E129" i="2" a="1"/>
  <c r="E129" i="2"/>
  <c r="E130" i="2" a="1"/>
  <c r="E130" i="2"/>
  <c r="E131" i="2" a="1"/>
  <c r="E131" i="2"/>
  <c r="E132" i="2" a="1"/>
  <c r="E132" i="2"/>
  <c r="E133" i="2" a="1"/>
  <c r="E133" i="2"/>
  <c r="E134" i="2" a="1"/>
  <c r="E134" i="2"/>
  <c r="E135" i="2" a="1"/>
  <c r="E135" i="2"/>
  <c r="E136" i="2" a="1"/>
  <c r="E136" i="2"/>
  <c r="E137" i="2" a="1"/>
  <c r="E137" i="2"/>
  <c r="E138" i="2" a="1"/>
  <c r="E138" i="2"/>
  <c r="E139" i="2" a="1"/>
  <c r="E139" i="2"/>
  <c r="E140" i="2" a="1"/>
  <c r="E140" i="2"/>
  <c r="E141" i="2" a="1"/>
  <c r="E141" i="2"/>
  <c r="E142" i="2" a="1"/>
  <c r="E142" i="2"/>
  <c r="E143" i="2" a="1"/>
  <c r="E143" i="2"/>
  <c r="E144" i="2" a="1"/>
  <c r="E144" i="2"/>
  <c r="E145" i="2" a="1"/>
  <c r="E145" i="2"/>
  <c r="E146" i="2" a="1"/>
  <c r="E146" i="2"/>
  <c r="E147" i="2" a="1"/>
  <c r="E147" i="2"/>
  <c r="E148" i="2" a="1"/>
  <c r="E148" i="2"/>
  <c r="E149" i="2" a="1"/>
  <c r="E149" i="2"/>
  <c r="E150" i="2" a="1"/>
  <c r="E150" i="2"/>
  <c r="E151" i="2" a="1"/>
  <c r="E151" i="2"/>
  <c r="E152" i="2" a="1"/>
  <c r="E152" i="2"/>
  <c r="E153" i="2" a="1"/>
  <c r="E153" i="2"/>
  <c r="E154" i="2" a="1"/>
  <c r="E154" i="2"/>
  <c r="E155" i="2" a="1"/>
  <c r="E155" i="2"/>
  <c r="E156" i="2" a="1"/>
  <c r="E156" i="2"/>
  <c r="E157" i="2" a="1"/>
  <c r="E157" i="2"/>
  <c r="E158" i="2" a="1"/>
  <c r="E158" i="2"/>
  <c r="E159" i="2" a="1"/>
  <c r="E159" i="2"/>
  <c r="E160" i="2" a="1"/>
  <c r="E160" i="2"/>
  <c r="E161" i="2" a="1"/>
  <c r="E161" i="2"/>
  <c r="E162" i="2" a="1"/>
  <c r="E162" i="2"/>
  <c r="E163" i="2" a="1"/>
  <c r="E163" i="2"/>
  <c r="E164" i="2" a="1"/>
  <c r="E164" i="2"/>
  <c r="E165" i="2" a="1"/>
  <c r="E165" i="2"/>
  <c r="E166" i="2" a="1"/>
  <c r="E166" i="2"/>
  <c r="E167" i="2" a="1"/>
  <c r="E167" i="2"/>
  <c r="E168" i="2" a="1"/>
  <c r="E168" i="2"/>
  <c r="E169" i="2" a="1"/>
  <c r="E169" i="2"/>
  <c r="E170" i="2" a="1"/>
  <c r="E170" i="2"/>
  <c r="E171" i="2" a="1"/>
  <c r="E171" i="2"/>
  <c r="E172" i="2" a="1"/>
  <c r="E172" i="2"/>
  <c r="E173" i="2" a="1"/>
  <c r="E173" i="2"/>
  <c r="E174" i="2" a="1"/>
  <c r="E174" i="2"/>
  <c r="E175" i="2" a="1"/>
  <c r="E175" i="2"/>
  <c r="E176" i="2" a="1"/>
  <c r="E176" i="2"/>
  <c r="E177" i="2" a="1"/>
  <c r="E177" i="2"/>
  <c r="E178" i="2" a="1"/>
  <c r="E178" i="2"/>
  <c r="E179" i="2" a="1"/>
  <c r="E179" i="2"/>
  <c r="E180" i="2" a="1"/>
  <c r="E180" i="2"/>
  <c r="E181" i="2" a="1"/>
  <c r="E181" i="2"/>
  <c r="E182" i="2" a="1"/>
  <c r="E182" i="2"/>
  <c r="E183" i="2" a="1"/>
  <c r="E183" i="2"/>
  <c r="E184" i="2" a="1"/>
  <c r="E184" i="2"/>
  <c r="E185" i="2" a="1"/>
  <c r="E185" i="2"/>
  <c r="E186" i="2" a="1"/>
  <c r="E186" i="2"/>
  <c r="E187" i="2" a="1"/>
  <c r="E187" i="2"/>
  <c r="E188" i="2" a="1"/>
  <c r="E188" i="2"/>
  <c r="E189" i="2" a="1"/>
  <c r="E189" i="2"/>
  <c r="E190" i="2" a="1"/>
  <c r="E190" i="2"/>
  <c r="E191" i="2" a="1"/>
  <c r="E191" i="2"/>
  <c r="E192" i="2" a="1"/>
  <c r="E192" i="2"/>
  <c r="E193" i="2" a="1"/>
  <c r="E193" i="2"/>
  <c r="E194" i="2" a="1"/>
  <c r="E194" i="2"/>
  <c r="E195" i="2" a="1"/>
  <c r="E195" i="2"/>
  <c r="E196" i="2" a="1"/>
  <c r="E196" i="2"/>
  <c r="E197" i="2" a="1"/>
  <c r="E197" i="2"/>
  <c r="E198" i="2" a="1"/>
  <c r="E198" i="2"/>
  <c r="E199" i="2" a="1"/>
  <c r="E199" i="2"/>
  <c r="E200" i="2" a="1"/>
  <c r="E200" i="2"/>
  <c r="E201" i="2" a="1"/>
  <c r="E201" i="2"/>
  <c r="E202" i="2" a="1"/>
  <c r="E202" i="2"/>
  <c r="E203" i="2" a="1"/>
  <c r="E203" i="2"/>
  <c r="E204" i="2" a="1"/>
  <c r="E204" i="2"/>
  <c r="E205" i="2" a="1"/>
  <c r="E205" i="2"/>
  <c r="E206" i="2" a="1"/>
  <c r="E206" i="2"/>
  <c r="E207" i="2" a="1"/>
  <c r="E207" i="2"/>
  <c r="E208" i="2" a="1"/>
  <c r="E208" i="2"/>
  <c r="E209" i="2" a="1"/>
  <c r="E209" i="2"/>
  <c r="E210" i="2" a="1"/>
  <c r="E210" i="2"/>
  <c r="E211" i="2" a="1"/>
  <c r="E211" i="2"/>
  <c r="E212" i="2" a="1"/>
  <c r="E212" i="2"/>
  <c r="E213" i="2" a="1"/>
  <c r="E213" i="2"/>
  <c r="E214" i="2" a="1"/>
  <c r="E214" i="2"/>
  <c r="E215" i="2" a="1"/>
  <c r="E215" i="2"/>
  <c r="E216" i="2" a="1"/>
  <c r="E216" i="2"/>
  <c r="E217" i="2" a="1"/>
  <c r="E217" i="2"/>
  <c r="E218" i="2" a="1"/>
  <c r="E218" i="2"/>
  <c r="E219" i="2" a="1"/>
  <c r="E219" i="2"/>
  <c r="E220" i="2" a="1"/>
  <c r="E220" i="2"/>
  <c r="E221" i="2" a="1"/>
  <c r="E221" i="2"/>
  <c r="E222" i="2" a="1"/>
  <c r="E222" i="2"/>
  <c r="E223" i="2" a="1"/>
  <c r="E223" i="2"/>
  <c r="E224" i="2" a="1"/>
  <c r="E224" i="2"/>
  <c r="E225" i="2" a="1"/>
  <c r="E225" i="2"/>
  <c r="E226" i="2" a="1"/>
  <c r="E226" i="2"/>
  <c r="E227" i="2" a="1"/>
  <c r="E227" i="2"/>
  <c r="E228" i="2" a="1"/>
  <c r="E228" i="2"/>
  <c r="E229" i="2" a="1"/>
  <c r="E229" i="2"/>
  <c r="E230" i="2" a="1"/>
  <c r="E230" i="2"/>
  <c r="E231" i="2" a="1"/>
  <c r="E231" i="2"/>
  <c r="E232" i="2" a="1"/>
  <c r="E232" i="2"/>
  <c r="E233" i="2" a="1"/>
  <c r="E233" i="2"/>
  <c r="E234" i="2" a="1"/>
  <c r="E234" i="2"/>
  <c r="E235" i="2" a="1"/>
  <c r="E235" i="2"/>
  <c r="E236" i="2" a="1"/>
  <c r="E236" i="2"/>
  <c r="E237" i="2" a="1"/>
  <c r="E237" i="2"/>
  <c r="E238" i="2" a="1"/>
  <c r="E238" i="2"/>
  <c r="E239" i="2" a="1"/>
  <c r="E239" i="2"/>
  <c r="E240" i="2" a="1"/>
  <c r="E240" i="2"/>
  <c r="E241" i="2" a="1"/>
  <c r="E241" i="2"/>
  <c r="E242" i="2" a="1"/>
  <c r="E242" i="2"/>
  <c r="E243" i="2" a="1"/>
  <c r="E243" i="2"/>
  <c r="E244" i="2" a="1"/>
  <c r="E244" i="2"/>
  <c r="E245" i="2" a="1"/>
  <c r="E245" i="2"/>
  <c r="E246" i="2" a="1"/>
  <c r="E246" i="2"/>
  <c r="E247" i="2" a="1"/>
  <c r="E247" i="2"/>
  <c r="E248" i="2" a="1"/>
  <c r="E248" i="2"/>
  <c r="E249" i="2" a="1"/>
  <c r="E249" i="2"/>
  <c r="E250" i="2" a="1"/>
  <c r="E250" i="2"/>
  <c r="E251" i="2" a="1"/>
  <c r="E251" i="2"/>
  <c r="E252" i="2" a="1"/>
  <c r="E252" i="2"/>
  <c r="E253" i="2" a="1"/>
  <c r="E253" i="2"/>
  <c r="E254" i="2" a="1"/>
  <c r="E254" i="2"/>
  <c r="E255" i="2" a="1"/>
  <c r="E255" i="2"/>
  <c r="E256" i="2" a="1"/>
  <c r="E256" i="2"/>
  <c r="E257" i="2" a="1"/>
  <c r="E257" i="2"/>
  <c r="E258" i="2" a="1"/>
  <c r="E258" i="2"/>
  <c r="E259" i="2" a="1"/>
  <c r="E259" i="2"/>
  <c r="E260" i="2" a="1"/>
  <c r="E260" i="2"/>
  <c r="E261" i="2" a="1"/>
  <c r="E261" i="2"/>
  <c r="E262" i="2" a="1"/>
  <c r="E262" i="2"/>
  <c r="E263" i="2" a="1"/>
  <c r="E263" i="2"/>
  <c r="E264" i="2" a="1"/>
  <c r="E264" i="2"/>
  <c r="E265" i="2" a="1"/>
  <c r="E265" i="2"/>
  <c r="E266" i="2" a="1"/>
  <c r="E266" i="2"/>
  <c r="E267" i="2" a="1"/>
  <c r="E267" i="2"/>
  <c r="E268" i="2" a="1"/>
  <c r="E268" i="2"/>
  <c r="E269" i="2" a="1"/>
  <c r="E269" i="2"/>
  <c r="E270" i="2" a="1"/>
  <c r="E270" i="2"/>
  <c r="E271" i="2" a="1"/>
  <c r="E271" i="2"/>
  <c r="E272" i="2" a="1"/>
  <c r="E272" i="2"/>
  <c r="E273" i="2" a="1"/>
  <c r="E273" i="2"/>
  <c r="E274" i="2" a="1"/>
  <c r="E274" i="2"/>
  <c r="E275" i="2" a="1"/>
  <c r="E275" i="2"/>
  <c r="E276" i="2" a="1"/>
  <c r="E276" i="2"/>
  <c r="E277" i="2" a="1"/>
  <c r="E277" i="2"/>
  <c r="E278" i="2" a="1"/>
  <c r="E278" i="2"/>
  <c r="E279" i="2" a="1"/>
  <c r="E279" i="2"/>
  <c r="E280" i="2" a="1"/>
  <c r="E280" i="2"/>
  <c r="E281" i="2" a="1"/>
  <c r="E281" i="2"/>
  <c r="E282" i="2" a="1"/>
  <c r="E282" i="2"/>
  <c r="E283" i="2" a="1"/>
  <c r="E283" i="2"/>
  <c r="E284" i="2" a="1"/>
  <c r="E284" i="2"/>
  <c r="E285" i="2" a="1"/>
  <c r="E285" i="2"/>
  <c r="E286" i="2" a="1"/>
  <c r="E286" i="2"/>
  <c r="E287" i="2" a="1"/>
  <c r="E287" i="2"/>
  <c r="E288" i="2" a="1"/>
  <c r="E288" i="2"/>
  <c r="E289" i="2" a="1"/>
  <c r="E289" i="2"/>
  <c r="E290" i="2" a="1"/>
  <c r="E290" i="2"/>
  <c r="E291" i="2" a="1"/>
  <c r="E291" i="2"/>
  <c r="E292" i="2" a="1"/>
  <c r="E292" i="2"/>
  <c r="E293" i="2" a="1"/>
  <c r="E293" i="2"/>
  <c r="E294" i="2" a="1"/>
  <c r="E294" i="2"/>
  <c r="E295" i="2" a="1"/>
  <c r="E295" i="2"/>
  <c r="E296" i="2" a="1"/>
  <c r="E296" i="2"/>
  <c r="E297" i="2" a="1"/>
  <c r="E297" i="2"/>
  <c r="E298" i="2" a="1"/>
  <c r="E298" i="2"/>
  <c r="E299" i="2" a="1"/>
  <c r="E299" i="2"/>
  <c r="E300" i="2" a="1"/>
  <c r="E300" i="2"/>
  <c r="E301" i="2" a="1"/>
  <c r="E301" i="2"/>
  <c r="E302" i="2" a="1"/>
  <c r="E302" i="2"/>
  <c r="E303" i="2" a="1"/>
  <c r="E303" i="2"/>
  <c r="E304" i="2" a="1"/>
  <c r="E304" i="2"/>
  <c r="E305" i="2" a="1"/>
  <c r="E305" i="2"/>
  <c r="E306" i="2" a="1"/>
  <c r="E306" i="2"/>
  <c r="E307" i="2" a="1"/>
  <c r="E307" i="2"/>
  <c r="E308" i="2" a="1"/>
  <c r="E308" i="2"/>
  <c r="E309" i="2" a="1"/>
  <c r="E309" i="2"/>
  <c r="E310" i="2" a="1"/>
  <c r="E310" i="2"/>
  <c r="E311" i="2" a="1"/>
  <c r="E311" i="2"/>
  <c r="E312" i="2" a="1"/>
  <c r="E312" i="2"/>
  <c r="E313" i="2" a="1"/>
  <c r="E313" i="2"/>
  <c r="E314" i="2" a="1"/>
  <c r="E314" i="2"/>
  <c r="E315" i="2" a="1"/>
  <c r="E315" i="2"/>
  <c r="E316" i="2" a="1"/>
  <c r="E316" i="2"/>
  <c r="E317" i="2" a="1"/>
  <c r="E317" i="2"/>
  <c r="E318" i="2" a="1"/>
  <c r="E318" i="2"/>
  <c r="E319" i="2" a="1"/>
  <c r="E319" i="2"/>
  <c r="E320" i="2" a="1"/>
  <c r="E320" i="2"/>
  <c r="E321" i="2" a="1"/>
  <c r="E321" i="2"/>
  <c r="E322" i="2" a="1"/>
  <c r="E322" i="2"/>
  <c r="E323" i="2" a="1"/>
  <c r="E323" i="2"/>
  <c r="E324" i="2" a="1"/>
  <c r="E324" i="2"/>
  <c r="E325" i="2" a="1"/>
  <c r="E325" i="2"/>
  <c r="E326" i="2" a="1"/>
  <c r="E326" i="2"/>
  <c r="E327" i="2" a="1"/>
  <c r="E327" i="2"/>
  <c r="E328" i="2" a="1"/>
  <c r="E328" i="2"/>
  <c r="E329" i="2" a="1"/>
  <c r="E329" i="2"/>
  <c r="E330" i="2" a="1"/>
  <c r="E330" i="2"/>
  <c r="E331" i="2" a="1"/>
  <c r="E331" i="2"/>
  <c r="E332" i="2" a="1"/>
  <c r="E332" i="2"/>
  <c r="E333" i="2" a="1"/>
  <c r="E333" i="2"/>
  <c r="E334" i="2" a="1"/>
  <c r="E334" i="2"/>
  <c r="E335" i="2" a="1"/>
  <c r="E335" i="2"/>
  <c r="E336" i="2" a="1"/>
  <c r="E336" i="2"/>
  <c r="E337" i="2" a="1"/>
  <c r="E337" i="2"/>
  <c r="E338" i="2" a="1"/>
  <c r="E338" i="2"/>
  <c r="E339" i="2" a="1"/>
  <c r="E339" i="2"/>
  <c r="E340" i="2" a="1"/>
  <c r="E340" i="2"/>
  <c r="E341" i="2" a="1"/>
  <c r="E341" i="2"/>
  <c r="E342" i="2" a="1"/>
  <c r="E342" i="2"/>
  <c r="E343" i="2" a="1"/>
  <c r="E343" i="2"/>
  <c r="E344" i="2" a="1"/>
  <c r="E344" i="2"/>
  <c r="E345" i="2" a="1"/>
  <c r="E345" i="2"/>
  <c r="E346" i="2" a="1"/>
  <c r="E346" i="2"/>
  <c r="E347" i="2" a="1"/>
  <c r="E347" i="2"/>
  <c r="E348" i="2" a="1"/>
  <c r="E348" i="2"/>
  <c r="E349" i="2" a="1"/>
  <c r="E349" i="2"/>
  <c r="E350" i="2" a="1"/>
  <c r="E350" i="2"/>
  <c r="E351" i="2" a="1"/>
  <c r="E351" i="2"/>
  <c r="E352" i="2" a="1"/>
  <c r="E352" i="2"/>
  <c r="E353" i="2" a="1"/>
  <c r="E353" i="2"/>
  <c r="E354" i="2" a="1"/>
  <c r="E354" i="2"/>
  <c r="E355" i="2" a="1"/>
  <c r="E355" i="2"/>
  <c r="E356" i="2" a="1"/>
  <c r="E356" i="2"/>
  <c r="E357" i="2" a="1"/>
  <c r="E357" i="2"/>
  <c r="E358" i="2" a="1"/>
  <c r="E358" i="2"/>
  <c r="E359" i="2" a="1"/>
  <c r="E359" i="2"/>
  <c r="E360" i="2" a="1"/>
  <c r="E360" i="2"/>
  <c r="E361" i="2" a="1"/>
  <c r="E361" i="2"/>
  <c r="E362" i="2" a="1"/>
  <c r="E362" i="2"/>
  <c r="E363" i="2" a="1"/>
  <c r="E363" i="2"/>
  <c r="E364" i="2" a="1"/>
  <c r="E364" i="2"/>
  <c r="E365" i="2" a="1"/>
  <c r="E365" i="2"/>
  <c r="E366" i="2" a="1"/>
  <c r="E366" i="2"/>
  <c r="E367" i="2" a="1"/>
  <c r="E367" i="2"/>
  <c r="E368" i="2" a="1"/>
  <c r="E368" i="2"/>
  <c r="E369" i="2" a="1"/>
  <c r="E369" i="2"/>
  <c r="E370" i="2" a="1"/>
  <c r="E370" i="2"/>
  <c r="E371" i="2" a="1"/>
  <c r="E371" i="2"/>
  <c r="E372" i="2" a="1"/>
  <c r="E372" i="2"/>
  <c r="E373" i="2" a="1"/>
  <c r="E373" i="2"/>
  <c r="E374" i="2" a="1"/>
  <c r="E374" i="2"/>
  <c r="E375" i="2" a="1"/>
  <c r="E375" i="2"/>
  <c r="E376" i="2" a="1"/>
  <c r="E376" i="2"/>
  <c r="E377" i="2" a="1"/>
  <c r="E377" i="2"/>
  <c r="E378" i="2" a="1"/>
  <c r="E378" i="2"/>
  <c r="E379" i="2" a="1"/>
  <c r="E379" i="2"/>
  <c r="E380" i="2" a="1"/>
  <c r="E380" i="2"/>
  <c r="E381" i="2" a="1"/>
  <c r="E381" i="2"/>
  <c r="E382" i="2" a="1"/>
  <c r="E382" i="2"/>
  <c r="E383" i="2" a="1"/>
  <c r="E383" i="2"/>
  <c r="E384" i="2" a="1"/>
  <c r="E384" i="2"/>
  <c r="E385" i="2" a="1"/>
  <c r="E385" i="2"/>
  <c r="E386" i="2" a="1"/>
  <c r="E386" i="2"/>
  <c r="E387" i="2" a="1"/>
  <c r="E387" i="2"/>
  <c r="E388" i="2" a="1"/>
  <c r="E388" i="2"/>
  <c r="E389" i="2" a="1"/>
  <c r="E389" i="2"/>
  <c r="E390" i="2" a="1"/>
  <c r="E390" i="2"/>
  <c r="E391" i="2" a="1"/>
  <c r="E391" i="2"/>
  <c r="E392" i="2" a="1"/>
  <c r="E392" i="2"/>
  <c r="E393" i="2" a="1"/>
  <c r="E393" i="2"/>
  <c r="E394" i="2" a="1"/>
  <c r="E394" i="2"/>
  <c r="E395" i="2" a="1"/>
  <c r="E395" i="2"/>
  <c r="E396" i="2" a="1"/>
  <c r="E396" i="2"/>
  <c r="E397" i="2" a="1"/>
  <c r="E397" i="2"/>
  <c r="E398" i="2" a="1"/>
  <c r="E398" i="2"/>
  <c r="E399" i="2" a="1"/>
  <c r="E399" i="2"/>
  <c r="E400" i="2" a="1"/>
  <c r="E400" i="2"/>
  <c r="E401" i="2" a="1"/>
  <c r="E401" i="2"/>
  <c r="E402" i="2" a="1"/>
  <c r="E402" i="2"/>
  <c r="E403" i="2" a="1"/>
  <c r="E403" i="2"/>
  <c r="E404" i="2" a="1"/>
  <c r="E404" i="2"/>
  <c r="E405" i="2" a="1"/>
  <c r="E405" i="2"/>
  <c r="E406" i="2" a="1"/>
  <c r="E406" i="2"/>
  <c r="E407" i="2" a="1"/>
  <c r="E407" i="2"/>
  <c r="E408" i="2" a="1"/>
  <c r="E408" i="2"/>
  <c r="E409" i="2" a="1"/>
  <c r="E409" i="2"/>
  <c r="E410" i="2" a="1"/>
  <c r="E410" i="2"/>
  <c r="E411" i="2" a="1"/>
  <c r="E411" i="2"/>
  <c r="E412" i="2" a="1"/>
  <c r="E412" i="2"/>
  <c r="E413" i="2" a="1"/>
  <c r="E413" i="2"/>
  <c r="E414" i="2" a="1"/>
  <c r="E414" i="2"/>
  <c r="E415" i="2" a="1"/>
  <c r="E415" i="2"/>
  <c r="E416" i="2" a="1"/>
  <c r="E416" i="2"/>
  <c r="E417" i="2" a="1"/>
  <c r="E417" i="2"/>
  <c r="E418" i="2" a="1"/>
  <c r="E418" i="2"/>
  <c r="E419" i="2" a="1"/>
  <c r="E419" i="2"/>
  <c r="E420" i="2" a="1"/>
  <c r="E420" i="2"/>
  <c r="E421" i="2" a="1"/>
  <c r="E421" i="2"/>
  <c r="E422" i="2" a="1"/>
  <c r="E422" i="2"/>
  <c r="E423" i="2" a="1"/>
  <c r="E423" i="2"/>
  <c r="E424" i="2" a="1"/>
  <c r="E424" i="2"/>
  <c r="E425" i="2" a="1"/>
  <c r="E425" i="2"/>
  <c r="E426" i="2" a="1"/>
  <c r="E426" i="2"/>
  <c r="E427" i="2" a="1"/>
  <c r="E427" i="2"/>
  <c r="E428" i="2" a="1"/>
  <c r="E428" i="2"/>
  <c r="E429" i="2" a="1"/>
  <c r="E429" i="2"/>
  <c r="E430" i="2" a="1"/>
  <c r="E430" i="2"/>
  <c r="E431" i="2" a="1"/>
  <c r="E431" i="2"/>
  <c r="E432" i="2" a="1"/>
  <c r="E432" i="2"/>
  <c r="E433" i="2" a="1"/>
  <c r="E433" i="2"/>
  <c r="E434" i="2" a="1"/>
  <c r="E434" i="2"/>
  <c r="E435" i="2" a="1"/>
  <c r="E435" i="2"/>
  <c r="E436" i="2" a="1"/>
  <c r="E436" i="2"/>
  <c r="E437" i="2" a="1"/>
  <c r="E437" i="2"/>
  <c r="E438" i="2" a="1"/>
  <c r="E438" i="2"/>
  <c r="E439" i="2" a="1"/>
  <c r="E439" i="2"/>
  <c r="E440" i="2" a="1"/>
  <c r="E440" i="2"/>
  <c r="E441" i="2" a="1"/>
  <c r="E441" i="2"/>
  <c r="E442" i="2" a="1"/>
  <c r="E442" i="2"/>
  <c r="E443" i="2" a="1"/>
  <c r="E443" i="2"/>
  <c r="E444" i="2" a="1"/>
  <c r="E444" i="2"/>
  <c r="E445" i="2" a="1"/>
  <c r="E445" i="2"/>
  <c r="E446" i="2" a="1"/>
  <c r="E446" i="2"/>
  <c r="E447" i="2" a="1"/>
  <c r="E447" i="2"/>
  <c r="E448" i="2" a="1"/>
  <c r="E448" i="2"/>
  <c r="E449" i="2" a="1"/>
  <c r="E449" i="2"/>
  <c r="E450" i="2" a="1"/>
  <c r="E450" i="2"/>
  <c r="E451" i="2" a="1"/>
  <c r="E451" i="2"/>
  <c r="E452" i="2" a="1"/>
  <c r="E452" i="2"/>
  <c r="E453" i="2" a="1"/>
  <c r="E453" i="2"/>
  <c r="E454" i="2" a="1"/>
  <c r="E454" i="2"/>
  <c r="E455" i="2" a="1"/>
  <c r="E455" i="2"/>
  <c r="E456" i="2" a="1"/>
  <c r="E456" i="2"/>
  <c r="E457" i="2" a="1"/>
  <c r="E457" i="2"/>
  <c r="E458" i="2" a="1"/>
  <c r="E458" i="2"/>
  <c r="E459" i="2" a="1"/>
  <c r="E459" i="2"/>
  <c r="E460" i="2" a="1"/>
  <c r="E460" i="2"/>
  <c r="E461" i="2" a="1"/>
  <c r="E461" i="2"/>
  <c r="E462" i="2" a="1"/>
  <c r="E462" i="2"/>
  <c r="E463" i="2" a="1"/>
  <c r="E463" i="2"/>
  <c r="E464" i="2" a="1"/>
  <c r="E464" i="2"/>
  <c r="E465" i="2" a="1"/>
  <c r="E465" i="2"/>
  <c r="E466" i="2" a="1"/>
  <c r="E466" i="2"/>
  <c r="E467" i="2" a="1"/>
  <c r="E467" i="2"/>
  <c r="E468" i="2" a="1"/>
  <c r="E468" i="2"/>
  <c r="E469" i="2" a="1"/>
  <c r="E469" i="2"/>
  <c r="E470" i="2" a="1"/>
  <c r="E470" i="2"/>
  <c r="E471" i="2" a="1"/>
  <c r="E471" i="2"/>
  <c r="E472" i="2" a="1"/>
  <c r="E472" i="2"/>
  <c r="E473" i="2" a="1"/>
  <c r="E473" i="2"/>
  <c r="E474" i="2" a="1"/>
  <c r="E474" i="2"/>
  <c r="E475" i="2" a="1"/>
  <c r="E475" i="2"/>
  <c r="E476" i="2" a="1"/>
  <c r="E476" i="2"/>
  <c r="E477" i="2" a="1"/>
  <c r="E477" i="2"/>
  <c r="E478" i="2" a="1"/>
  <c r="E478" i="2"/>
  <c r="E479" i="2" a="1"/>
  <c r="E479" i="2"/>
  <c r="E480" i="2" a="1"/>
  <c r="E480" i="2"/>
  <c r="E481" i="2" a="1"/>
  <c r="E481" i="2"/>
  <c r="E482" i="2" a="1"/>
  <c r="E482" i="2"/>
  <c r="E483" i="2" a="1"/>
  <c r="E483" i="2"/>
  <c r="E484" i="2" a="1"/>
  <c r="E484" i="2"/>
  <c r="E485" i="2" a="1"/>
  <c r="E485" i="2"/>
  <c r="E486" i="2" a="1"/>
  <c r="E486" i="2"/>
  <c r="E487" i="2" a="1"/>
  <c r="E487" i="2"/>
  <c r="E488" i="2" a="1"/>
  <c r="E488" i="2"/>
  <c r="E489" i="2" a="1"/>
  <c r="E489" i="2"/>
  <c r="E490" i="2" a="1"/>
  <c r="E490" i="2"/>
  <c r="E491" i="2" a="1"/>
  <c r="E491" i="2"/>
  <c r="E492" i="2" a="1"/>
  <c r="E492" i="2"/>
  <c r="E493" i="2" a="1"/>
  <c r="E493" i="2"/>
  <c r="E494" i="2" a="1"/>
  <c r="E494" i="2"/>
  <c r="E495" i="2" a="1"/>
  <c r="E495" i="2"/>
  <c r="E496" i="2" a="1"/>
  <c r="E496" i="2"/>
  <c r="E497" i="2" a="1"/>
  <c r="E497" i="2"/>
  <c r="E498" i="2" a="1"/>
  <c r="E498" i="2"/>
  <c r="E499" i="2" a="1"/>
  <c r="E499" i="2"/>
  <c r="E500" i="2" a="1"/>
  <c r="E500" i="2"/>
  <c r="E501" i="2" a="1"/>
  <c r="E501" i="2"/>
  <c r="E502" i="2" a="1"/>
  <c r="E502" i="2"/>
  <c r="E503" i="2" a="1"/>
  <c r="E503" i="2"/>
  <c r="E504" i="2" a="1"/>
  <c r="E504" i="2"/>
  <c r="E505" i="2" a="1"/>
  <c r="E505" i="2"/>
  <c r="E506" i="2" a="1"/>
  <c r="E506" i="2"/>
  <c r="E507" i="2" a="1"/>
  <c r="E507" i="2"/>
  <c r="E508" i="2" a="1"/>
  <c r="E508" i="2"/>
  <c r="E509" i="2" a="1"/>
  <c r="E509" i="2"/>
  <c r="E510" i="2" a="1"/>
  <c r="E510" i="2"/>
  <c r="E511" i="2" a="1"/>
  <c r="E511" i="2"/>
  <c r="E512" i="2" a="1"/>
  <c r="E512" i="2"/>
  <c r="E513" i="2" a="1"/>
  <c r="E513" i="2"/>
  <c r="E514" i="2" a="1"/>
  <c r="E514" i="2"/>
  <c r="E515" i="2" a="1"/>
  <c r="E515" i="2"/>
  <c r="E516" i="2" a="1"/>
  <c r="E516" i="2"/>
  <c r="E517" i="2" a="1"/>
  <c r="E517" i="2"/>
  <c r="E518" i="2" a="1"/>
  <c r="E518" i="2"/>
  <c r="E519" i="2" a="1"/>
  <c r="E519" i="2"/>
  <c r="E520" i="2" a="1"/>
  <c r="E520" i="2"/>
  <c r="E521" i="2" a="1"/>
  <c r="E521" i="2"/>
  <c r="E522" i="2" a="1"/>
  <c r="E522" i="2"/>
  <c r="E523" i="2" a="1"/>
  <c r="E523" i="2"/>
  <c r="E524" i="2" a="1"/>
  <c r="E524" i="2"/>
  <c r="E525" i="2" a="1"/>
  <c r="E525" i="2"/>
  <c r="E526" i="2" a="1"/>
  <c r="E526" i="2"/>
  <c r="E527" i="2" a="1"/>
  <c r="E527" i="2"/>
  <c r="E528" i="2" a="1"/>
  <c r="E528" i="2"/>
  <c r="E529" i="2" a="1"/>
  <c r="E529" i="2"/>
  <c r="E530" i="2" a="1"/>
  <c r="E530" i="2"/>
  <c r="E531" i="2" a="1"/>
  <c r="E531" i="2"/>
  <c r="E532" i="2" a="1"/>
  <c r="E532" i="2"/>
  <c r="E533" i="2" a="1"/>
  <c r="E533" i="2"/>
  <c r="E534" i="2" a="1"/>
  <c r="E534" i="2"/>
  <c r="E535" i="2" a="1"/>
  <c r="E535" i="2"/>
  <c r="E536" i="2" a="1"/>
  <c r="E536" i="2"/>
  <c r="E537" i="2" a="1"/>
  <c r="E537" i="2"/>
  <c r="E538" i="2" a="1"/>
  <c r="E538" i="2"/>
  <c r="E539" i="2" a="1"/>
  <c r="E539" i="2"/>
  <c r="E540" i="2" a="1"/>
  <c r="E540" i="2"/>
  <c r="E541" i="2" a="1"/>
  <c r="E541" i="2"/>
  <c r="E542" i="2" a="1"/>
  <c r="E542" i="2"/>
  <c r="E543" i="2" a="1"/>
  <c r="E543" i="2"/>
  <c r="E544" i="2" a="1"/>
  <c r="E544" i="2"/>
  <c r="E545" i="2" a="1"/>
  <c r="E545" i="2"/>
  <c r="E546" i="2" a="1"/>
  <c r="E546" i="2"/>
  <c r="E547" i="2" a="1"/>
  <c r="E547" i="2"/>
  <c r="E548" i="2" a="1"/>
  <c r="E548" i="2"/>
  <c r="E549" i="2" a="1"/>
  <c r="E549" i="2"/>
  <c r="E550" i="2" a="1"/>
  <c r="E550" i="2"/>
  <c r="E551" i="2" a="1"/>
  <c r="E551" i="2"/>
  <c r="E552" i="2" a="1"/>
  <c r="E552" i="2"/>
  <c r="E553" i="2" a="1"/>
  <c r="E553" i="2"/>
  <c r="E554" i="2" a="1"/>
  <c r="E554" i="2"/>
  <c r="E555" i="2" a="1"/>
  <c r="E555" i="2"/>
  <c r="E556" i="2" a="1"/>
  <c r="E556" i="2"/>
  <c r="E557" i="2" a="1"/>
  <c r="E557" i="2"/>
  <c r="E558" i="2" a="1"/>
  <c r="E558" i="2"/>
  <c r="E559" i="2" a="1"/>
  <c r="E559" i="2"/>
  <c r="E560" i="2" a="1"/>
  <c r="E560" i="2"/>
  <c r="E561" i="2" a="1"/>
  <c r="E561" i="2"/>
  <c r="E562" i="2" a="1"/>
  <c r="E562" i="2"/>
  <c r="E563" i="2" a="1"/>
  <c r="E563" i="2"/>
  <c r="E564" i="2" a="1"/>
  <c r="E564" i="2"/>
  <c r="E565" i="2" a="1"/>
  <c r="E565" i="2"/>
  <c r="E566" i="2" a="1"/>
  <c r="E566" i="2"/>
  <c r="E567" i="2" a="1"/>
  <c r="E567" i="2"/>
  <c r="E568" i="2" a="1"/>
  <c r="E568" i="2"/>
  <c r="E569" i="2" a="1"/>
  <c r="E569" i="2"/>
  <c r="E570" i="2" a="1"/>
  <c r="E570" i="2"/>
  <c r="E571" i="2" a="1"/>
  <c r="E571" i="2"/>
  <c r="E572" i="2" a="1"/>
  <c r="E572" i="2"/>
  <c r="E573" i="2" a="1"/>
  <c r="E573" i="2"/>
  <c r="E574" i="2" a="1"/>
  <c r="E574" i="2"/>
  <c r="E575" i="2" a="1"/>
  <c r="E575" i="2"/>
  <c r="E576" i="2" a="1"/>
  <c r="E576" i="2"/>
  <c r="E577" i="2" a="1"/>
  <c r="E577" i="2"/>
  <c r="E578" i="2" a="1"/>
  <c r="E578" i="2"/>
  <c r="E579" i="2" a="1"/>
  <c r="E579" i="2"/>
  <c r="E580" i="2" a="1"/>
  <c r="E580" i="2"/>
  <c r="E581" i="2" a="1"/>
  <c r="E581" i="2"/>
  <c r="E582" i="2" a="1"/>
  <c r="E582" i="2"/>
  <c r="E583" i="2" a="1"/>
  <c r="E583" i="2"/>
  <c r="E584" i="2" a="1"/>
  <c r="E584" i="2"/>
  <c r="E585" i="2" a="1"/>
  <c r="E585" i="2"/>
  <c r="E586" i="2" a="1"/>
  <c r="E586" i="2"/>
  <c r="E587" i="2" a="1"/>
  <c r="E587" i="2"/>
  <c r="E588" i="2" a="1"/>
  <c r="E588" i="2"/>
  <c r="E589" i="2" a="1"/>
  <c r="E589" i="2"/>
  <c r="E590" i="2" a="1"/>
  <c r="E590" i="2"/>
  <c r="E591" i="2" a="1"/>
  <c r="E591" i="2"/>
  <c r="E592" i="2" a="1"/>
  <c r="E592" i="2"/>
  <c r="E593" i="2" a="1"/>
  <c r="E593" i="2"/>
  <c r="E594" i="2" a="1"/>
  <c r="E594" i="2"/>
  <c r="E595" i="2" a="1"/>
  <c r="E595" i="2"/>
  <c r="E596" i="2" a="1"/>
  <c r="E596" i="2"/>
  <c r="E597" i="2" a="1"/>
  <c r="E597" i="2"/>
  <c r="E598" i="2" a="1"/>
  <c r="E598" i="2"/>
  <c r="E599" i="2" a="1"/>
  <c r="E599" i="2"/>
  <c r="E600" i="2" a="1"/>
  <c r="E600" i="2"/>
  <c r="E601" i="2" a="1"/>
  <c r="E601" i="2"/>
  <c r="E602" i="2" a="1"/>
  <c r="E602" i="2"/>
  <c r="E603" i="2" a="1"/>
  <c r="E603" i="2"/>
  <c r="E604" i="2" a="1"/>
  <c r="E604" i="2"/>
  <c r="E605" i="2" a="1"/>
  <c r="E605" i="2"/>
  <c r="E606" i="2" a="1"/>
  <c r="E606" i="2"/>
  <c r="E607" i="2" a="1"/>
  <c r="E607" i="2"/>
  <c r="E608" i="2" a="1"/>
  <c r="E608" i="2"/>
  <c r="E609" i="2" a="1"/>
  <c r="E609" i="2"/>
  <c r="E610" i="2" a="1"/>
  <c r="E610" i="2"/>
  <c r="E611" i="2" a="1"/>
  <c r="E611" i="2"/>
  <c r="E612" i="2" a="1"/>
  <c r="E612" i="2"/>
  <c r="E613" i="2" a="1"/>
  <c r="E613" i="2"/>
  <c r="E614" i="2" a="1"/>
  <c r="E614" i="2"/>
  <c r="E615" i="2" a="1"/>
  <c r="E615" i="2"/>
  <c r="E616" i="2" a="1"/>
  <c r="E616" i="2"/>
  <c r="E617" i="2" a="1"/>
  <c r="E617" i="2"/>
  <c r="E618" i="2" a="1"/>
  <c r="E618" i="2"/>
  <c r="E619" i="2" a="1"/>
  <c r="E619" i="2"/>
  <c r="E620" i="2" a="1"/>
  <c r="E620" i="2"/>
  <c r="E621" i="2" a="1"/>
  <c r="E621" i="2"/>
  <c r="E622" i="2" a="1"/>
  <c r="E622" i="2"/>
  <c r="E623" i="2" a="1"/>
  <c r="E623" i="2"/>
  <c r="E624" i="2" a="1"/>
  <c r="E624" i="2"/>
  <c r="E625" i="2" a="1"/>
  <c r="E625" i="2"/>
  <c r="E626" i="2" a="1"/>
  <c r="E626" i="2"/>
  <c r="E627" i="2" a="1"/>
  <c r="E627" i="2"/>
  <c r="E628" i="2" a="1"/>
  <c r="E628" i="2"/>
  <c r="E629" i="2" a="1"/>
  <c r="E629" i="2"/>
  <c r="E630" i="2" a="1"/>
  <c r="E630" i="2"/>
  <c r="E631" i="2" a="1"/>
  <c r="E631" i="2"/>
  <c r="E632" i="2" a="1"/>
  <c r="E632" i="2"/>
  <c r="E633" i="2" a="1"/>
  <c r="E633" i="2"/>
  <c r="E634" i="2" a="1"/>
  <c r="E634" i="2"/>
  <c r="E635" i="2" a="1"/>
  <c r="E635" i="2"/>
  <c r="E636" i="2" a="1"/>
  <c r="E636" i="2"/>
  <c r="E637" i="2" a="1"/>
  <c r="E637" i="2"/>
  <c r="E638" i="2" a="1"/>
  <c r="E638" i="2"/>
  <c r="E639" i="2" a="1"/>
  <c r="E639" i="2"/>
  <c r="E640" i="2" a="1"/>
  <c r="E640" i="2"/>
  <c r="E641" i="2" a="1"/>
  <c r="E641" i="2"/>
  <c r="E642" i="2" a="1"/>
  <c r="E642" i="2"/>
  <c r="E643" i="2" a="1"/>
  <c r="E643" i="2"/>
  <c r="E644" i="2" a="1"/>
  <c r="E644" i="2"/>
  <c r="E645" i="2" a="1"/>
  <c r="E645" i="2"/>
  <c r="E646" i="2" a="1"/>
  <c r="E646" i="2"/>
  <c r="E647" i="2" a="1"/>
  <c r="E647" i="2"/>
  <c r="E648" i="2" a="1"/>
  <c r="E648" i="2"/>
  <c r="E649" i="2" a="1"/>
  <c r="E649" i="2"/>
  <c r="E650" i="2" a="1"/>
  <c r="E650" i="2"/>
  <c r="E651" i="2" a="1"/>
  <c r="E651" i="2"/>
  <c r="E652" i="2" a="1"/>
  <c r="E652" i="2"/>
  <c r="E653" i="2" a="1"/>
  <c r="E653" i="2"/>
  <c r="E654" i="2" a="1"/>
  <c r="E654" i="2"/>
  <c r="E655" i="2" a="1"/>
  <c r="E655" i="2"/>
  <c r="E656" i="2" a="1"/>
  <c r="E656" i="2"/>
  <c r="E657" i="2" a="1"/>
  <c r="E657" i="2"/>
  <c r="E658" i="2" a="1"/>
  <c r="E658" i="2"/>
  <c r="E659" i="2" a="1"/>
  <c r="E659" i="2"/>
  <c r="E660" i="2" a="1"/>
  <c r="E660" i="2"/>
  <c r="E661" i="2" a="1"/>
  <c r="E661" i="2"/>
  <c r="E662" i="2" a="1"/>
  <c r="E662" i="2"/>
  <c r="E663" i="2" a="1"/>
  <c r="E663" i="2"/>
  <c r="E664" i="2" a="1"/>
  <c r="E664" i="2"/>
  <c r="E665" i="2" a="1"/>
  <c r="E665" i="2"/>
  <c r="E666" i="2" a="1"/>
  <c r="E666" i="2"/>
  <c r="E667" i="2" a="1"/>
  <c r="E667" i="2"/>
  <c r="E668" i="2" a="1"/>
  <c r="E668" i="2"/>
  <c r="E669" i="2" a="1"/>
  <c r="E669" i="2"/>
  <c r="E670" i="2" a="1"/>
  <c r="E670" i="2"/>
  <c r="E671" i="2" a="1"/>
  <c r="E671" i="2"/>
  <c r="E672" i="2" a="1"/>
  <c r="E672" i="2"/>
  <c r="E673" i="2" a="1"/>
  <c r="E673" i="2"/>
  <c r="E674" i="2" a="1"/>
  <c r="E674" i="2"/>
  <c r="E675" i="2" a="1"/>
  <c r="E675" i="2"/>
  <c r="E676" i="2" a="1"/>
  <c r="E676" i="2"/>
  <c r="E677" i="2" a="1"/>
  <c r="E677" i="2"/>
  <c r="E678" i="2" a="1"/>
  <c r="E678" i="2"/>
  <c r="E679" i="2" a="1"/>
  <c r="E679" i="2"/>
  <c r="E680" i="2" a="1"/>
  <c r="E680" i="2"/>
  <c r="E681" i="2" a="1"/>
  <c r="E681" i="2"/>
  <c r="E682" i="2" a="1"/>
  <c r="E682" i="2"/>
  <c r="E683" i="2" a="1"/>
  <c r="E683" i="2"/>
  <c r="E684" i="2" a="1"/>
  <c r="E684" i="2"/>
  <c r="E685" i="2" a="1"/>
  <c r="E685" i="2"/>
  <c r="E686" i="2" a="1"/>
  <c r="E686" i="2"/>
  <c r="E687" i="2" a="1"/>
  <c r="E687" i="2"/>
  <c r="E688" i="2" a="1"/>
  <c r="E688" i="2"/>
  <c r="E689" i="2" a="1"/>
  <c r="E689" i="2"/>
  <c r="E690" i="2" a="1"/>
  <c r="E690" i="2"/>
  <c r="E691" i="2" a="1"/>
  <c r="E691" i="2"/>
  <c r="E692" i="2" a="1"/>
  <c r="E692" i="2"/>
  <c r="E693" i="2" a="1"/>
  <c r="E693" i="2"/>
  <c r="E694" i="2" a="1"/>
  <c r="E694" i="2"/>
  <c r="E695" i="2" a="1"/>
  <c r="E695" i="2"/>
  <c r="E696" i="2" a="1"/>
  <c r="E696" i="2"/>
  <c r="E697" i="2" a="1"/>
  <c r="E697" i="2"/>
  <c r="E698" i="2" a="1"/>
  <c r="E698" i="2"/>
  <c r="E699" i="2" a="1"/>
  <c r="E699" i="2"/>
  <c r="E700" i="2" a="1"/>
  <c r="E700" i="2"/>
  <c r="E701" i="2" a="1"/>
  <c r="E701" i="2"/>
  <c r="E702" i="2" a="1"/>
  <c r="E702" i="2"/>
  <c r="E703" i="2" a="1"/>
  <c r="E703" i="2"/>
  <c r="E704" i="2" a="1"/>
  <c r="E704" i="2"/>
  <c r="E705" i="2" a="1"/>
  <c r="E705" i="2"/>
  <c r="E706" i="2" a="1"/>
  <c r="E706" i="2"/>
  <c r="E707" i="2" a="1"/>
  <c r="E707" i="2"/>
  <c r="E708" i="2" a="1"/>
  <c r="E708" i="2"/>
  <c r="E709" i="2" a="1"/>
  <c r="E709" i="2"/>
  <c r="E710" i="2" a="1"/>
  <c r="E710" i="2"/>
  <c r="E711" i="2" a="1"/>
  <c r="E711" i="2"/>
  <c r="E712" i="2" a="1"/>
  <c r="E712" i="2"/>
  <c r="E713" i="2" a="1"/>
  <c r="E713" i="2"/>
  <c r="E714" i="2" a="1"/>
  <c r="E714" i="2"/>
  <c r="E715" i="2" a="1"/>
  <c r="E715" i="2"/>
  <c r="E716" i="2" a="1"/>
  <c r="E716" i="2"/>
  <c r="E717" i="2" a="1"/>
  <c r="E717" i="2"/>
  <c r="E718" i="2" a="1"/>
  <c r="E718" i="2"/>
  <c r="E719" i="2" a="1"/>
  <c r="E719" i="2"/>
  <c r="E720" i="2" a="1"/>
  <c r="E720" i="2"/>
  <c r="E721" i="2" a="1"/>
  <c r="E721" i="2"/>
  <c r="E722" i="2" a="1"/>
  <c r="E722" i="2"/>
  <c r="E723" i="2" a="1"/>
  <c r="E723" i="2"/>
  <c r="E724" i="2" a="1"/>
  <c r="E724" i="2"/>
  <c r="E725" i="2" a="1"/>
  <c r="E725" i="2"/>
  <c r="E726" i="2" a="1"/>
  <c r="E726" i="2"/>
  <c r="E727" i="2" a="1"/>
  <c r="E727" i="2"/>
  <c r="E728" i="2" a="1"/>
  <c r="E728" i="2"/>
  <c r="E729" i="2" a="1"/>
  <c r="E729" i="2"/>
  <c r="E730" i="2" a="1"/>
  <c r="E730" i="2"/>
  <c r="E731" i="2" a="1"/>
  <c r="E731" i="2"/>
  <c r="E732" i="2" a="1"/>
  <c r="E732" i="2"/>
  <c r="E733" i="2" a="1"/>
  <c r="E733" i="2"/>
  <c r="E734" i="2" a="1"/>
  <c r="E734" i="2"/>
  <c r="E735" i="2" a="1"/>
  <c r="E735" i="2"/>
  <c r="E736" i="2" a="1"/>
  <c r="E736" i="2"/>
  <c r="E737" i="2" a="1"/>
  <c r="E737" i="2"/>
  <c r="E738" i="2" a="1"/>
  <c r="E738" i="2"/>
  <c r="E739" i="2" a="1"/>
  <c r="E739" i="2"/>
  <c r="E740" i="2" a="1"/>
  <c r="E740" i="2"/>
  <c r="E741" i="2" a="1"/>
  <c r="E741" i="2"/>
  <c r="E742" i="2" a="1"/>
  <c r="E742" i="2"/>
  <c r="E743" i="2" a="1"/>
  <c r="E743" i="2"/>
  <c r="E744" i="2" a="1"/>
  <c r="E744" i="2"/>
  <c r="E745" i="2" a="1"/>
  <c r="E745" i="2"/>
  <c r="E746" i="2" a="1"/>
  <c r="E746" i="2"/>
  <c r="E747" i="2" a="1"/>
  <c r="E747" i="2"/>
  <c r="E748" i="2" a="1"/>
  <c r="E748" i="2"/>
  <c r="E749" i="2" a="1"/>
  <c r="E749" i="2"/>
  <c r="E750" i="2" a="1"/>
  <c r="E750" i="2"/>
  <c r="E751" i="2" a="1"/>
  <c r="E751" i="2"/>
  <c r="E752" i="2" a="1"/>
  <c r="E752" i="2"/>
  <c r="E753" i="2" a="1"/>
  <c r="E753" i="2"/>
  <c r="E754" i="2" a="1"/>
  <c r="E754" i="2"/>
  <c r="E755" i="2" a="1"/>
  <c r="E755" i="2"/>
  <c r="E756" i="2" a="1"/>
  <c r="E756" i="2"/>
  <c r="E757" i="2" a="1"/>
  <c r="E757" i="2"/>
  <c r="E758" i="2" a="1"/>
  <c r="E758" i="2"/>
  <c r="E759" i="2" a="1"/>
  <c r="E759" i="2"/>
  <c r="E760" i="2" a="1"/>
  <c r="E760" i="2"/>
  <c r="E761" i="2" a="1"/>
  <c r="E761" i="2"/>
  <c r="E762" i="2" a="1"/>
  <c r="E762" i="2"/>
  <c r="E763" i="2" a="1"/>
  <c r="E763" i="2"/>
  <c r="E764" i="2" a="1"/>
  <c r="E764" i="2"/>
  <c r="E765" i="2" a="1"/>
  <c r="E765" i="2"/>
  <c r="E766" i="2" a="1"/>
  <c r="E766" i="2"/>
  <c r="E767" i="2" a="1"/>
  <c r="E767" i="2"/>
  <c r="E768" i="2" a="1"/>
  <c r="E768" i="2"/>
  <c r="E769" i="2" a="1"/>
  <c r="E769" i="2"/>
  <c r="E770" i="2" a="1"/>
  <c r="E770" i="2"/>
  <c r="E771" i="2" a="1"/>
  <c r="E771" i="2"/>
  <c r="E772" i="2" a="1"/>
  <c r="E772" i="2"/>
  <c r="E773" i="2" a="1"/>
  <c r="E773" i="2"/>
  <c r="E774" i="2" a="1"/>
  <c r="E774" i="2"/>
  <c r="E775" i="2" a="1"/>
  <c r="E775" i="2"/>
  <c r="E776" i="2" a="1"/>
  <c r="E776" i="2"/>
  <c r="E777" i="2" a="1"/>
  <c r="E777" i="2"/>
  <c r="E778" i="2" a="1"/>
  <c r="E778" i="2"/>
  <c r="E779" i="2" a="1"/>
  <c r="E779" i="2"/>
  <c r="E780" i="2" a="1"/>
  <c r="E780" i="2"/>
  <c r="E781" i="2" a="1"/>
  <c r="E781" i="2"/>
  <c r="E782" i="2" a="1"/>
  <c r="E782" i="2"/>
  <c r="E783" i="2" a="1"/>
  <c r="E783" i="2"/>
  <c r="E784" i="2" a="1"/>
  <c r="E784" i="2"/>
  <c r="E785" i="2" a="1"/>
  <c r="E785" i="2"/>
  <c r="E786" i="2" a="1"/>
  <c r="E786" i="2"/>
  <c r="E787" i="2" a="1"/>
  <c r="E787" i="2"/>
  <c r="E788" i="2" a="1"/>
  <c r="E788" i="2"/>
  <c r="E789" i="2" a="1"/>
  <c r="E789" i="2"/>
  <c r="E790" i="2" a="1"/>
  <c r="E790" i="2"/>
  <c r="E791" i="2" a="1"/>
  <c r="E791" i="2"/>
  <c r="E792" i="2" a="1"/>
  <c r="E792" i="2"/>
  <c r="E793" i="2" a="1"/>
  <c r="E793" i="2"/>
  <c r="E794" i="2" a="1"/>
  <c r="E794" i="2"/>
  <c r="E795" i="2" a="1"/>
  <c r="E795" i="2"/>
  <c r="E796" i="2" a="1"/>
  <c r="E796" i="2"/>
  <c r="E797" i="2" a="1"/>
  <c r="E797" i="2"/>
  <c r="E798" i="2" a="1"/>
  <c r="E798" i="2"/>
  <c r="E799" i="2" a="1"/>
  <c r="E799" i="2"/>
  <c r="E800" i="2" a="1"/>
  <c r="E800" i="2"/>
  <c r="E801" i="2" a="1"/>
  <c r="E801" i="2"/>
  <c r="E802" i="2" a="1"/>
  <c r="E802" i="2"/>
  <c r="E803" i="2" a="1"/>
  <c r="E803" i="2"/>
  <c r="E804" i="2" a="1"/>
  <c r="E804" i="2"/>
  <c r="E805" i="2" a="1"/>
  <c r="E805" i="2"/>
  <c r="E806" i="2" a="1"/>
  <c r="E806" i="2"/>
  <c r="E807" i="2" a="1"/>
  <c r="E807" i="2"/>
  <c r="E808" i="2" a="1"/>
  <c r="E808" i="2"/>
  <c r="E809" i="2" a="1"/>
  <c r="E809" i="2"/>
  <c r="E810" i="2" a="1"/>
  <c r="E810" i="2"/>
  <c r="E811" i="2" a="1"/>
  <c r="E811" i="2"/>
  <c r="E812" i="2" a="1"/>
  <c r="E812" i="2"/>
  <c r="E813" i="2" a="1"/>
  <c r="E813" i="2"/>
  <c r="E814" i="2" a="1"/>
  <c r="E814" i="2"/>
  <c r="E815" i="2" a="1"/>
  <c r="E815" i="2"/>
  <c r="E816" i="2" a="1"/>
  <c r="E816" i="2"/>
  <c r="E817" i="2" a="1"/>
  <c r="E817" i="2"/>
  <c r="E818" i="2" a="1"/>
  <c r="E818" i="2"/>
  <c r="E819" i="2" a="1"/>
  <c r="E819" i="2"/>
  <c r="E820" i="2" a="1"/>
  <c r="E820" i="2"/>
  <c r="E821" i="2" a="1"/>
  <c r="E821" i="2"/>
  <c r="E822" i="2" a="1"/>
  <c r="E822" i="2"/>
  <c r="E823" i="2" a="1"/>
  <c r="E823" i="2"/>
  <c r="E824" i="2" a="1"/>
  <c r="E824" i="2"/>
  <c r="E825" i="2" a="1"/>
  <c r="E825" i="2"/>
  <c r="E826" i="2" a="1"/>
  <c r="E826" i="2"/>
  <c r="E827" i="2" a="1"/>
  <c r="E827" i="2"/>
  <c r="E828" i="2" a="1"/>
  <c r="E828" i="2"/>
  <c r="E829" i="2" a="1"/>
  <c r="E829" i="2"/>
  <c r="E830" i="2" a="1"/>
  <c r="E830" i="2"/>
  <c r="E831" i="2" a="1"/>
  <c r="E831" i="2"/>
  <c r="E832" i="2" a="1"/>
  <c r="E832" i="2"/>
  <c r="E833" i="2" a="1"/>
  <c r="E833" i="2"/>
  <c r="E834" i="2" a="1"/>
  <c r="E834" i="2"/>
  <c r="E835" i="2" a="1"/>
  <c r="E835" i="2"/>
  <c r="E836" i="2" a="1"/>
  <c r="E836" i="2"/>
  <c r="E837" i="2" a="1"/>
  <c r="E837" i="2"/>
  <c r="E838" i="2" a="1"/>
  <c r="E838" i="2"/>
  <c r="E839" i="2" a="1"/>
  <c r="E839" i="2"/>
  <c r="E840" i="2" a="1"/>
  <c r="E840" i="2"/>
  <c r="E841" i="2" a="1"/>
  <c r="E841" i="2"/>
  <c r="E842" i="2" a="1"/>
  <c r="E842" i="2"/>
  <c r="E843" i="2" a="1"/>
  <c r="E843" i="2"/>
  <c r="E844" i="2" a="1"/>
  <c r="E844" i="2"/>
  <c r="E845" i="2" a="1"/>
  <c r="E845" i="2"/>
  <c r="E846" i="2" a="1"/>
  <c r="E846" i="2"/>
  <c r="E847" i="2" a="1"/>
  <c r="E847" i="2"/>
  <c r="E848" i="2" a="1"/>
  <c r="E848" i="2"/>
  <c r="E849" i="2" a="1"/>
  <c r="E849" i="2"/>
  <c r="E850" i="2" a="1"/>
  <c r="E850" i="2"/>
  <c r="E851" i="2" a="1"/>
  <c r="E851" i="2"/>
  <c r="E852" i="2" a="1"/>
  <c r="E852" i="2"/>
  <c r="E853" i="2" a="1"/>
  <c r="E853" i="2"/>
  <c r="E854" i="2" a="1"/>
  <c r="E854" i="2"/>
  <c r="E855" i="2" a="1"/>
  <c r="E855" i="2"/>
  <c r="E856" i="2" a="1"/>
  <c r="E856" i="2"/>
  <c r="E857" i="2" a="1"/>
  <c r="E857" i="2"/>
  <c r="E858" i="2" a="1"/>
  <c r="E858" i="2"/>
  <c r="E859" i="2" a="1"/>
  <c r="E859" i="2"/>
  <c r="E860" i="2" a="1"/>
  <c r="E860" i="2"/>
  <c r="E861" i="2" a="1"/>
  <c r="E861" i="2"/>
  <c r="E862" i="2" a="1"/>
  <c r="E862" i="2"/>
  <c r="E863" i="2" a="1"/>
  <c r="E863" i="2"/>
  <c r="E864" i="2" a="1"/>
  <c r="E864" i="2"/>
  <c r="E865" i="2" a="1"/>
  <c r="E865" i="2"/>
  <c r="E866" i="2" a="1"/>
  <c r="E866" i="2"/>
  <c r="E867" i="2" a="1"/>
  <c r="E867" i="2"/>
  <c r="E868" i="2" a="1"/>
  <c r="E868" i="2"/>
  <c r="E869" i="2" a="1"/>
  <c r="E869" i="2"/>
  <c r="E870" i="2" a="1"/>
  <c r="E870" i="2"/>
  <c r="E871" i="2" a="1"/>
  <c r="E871" i="2"/>
  <c r="E872" i="2" a="1"/>
  <c r="E872" i="2"/>
  <c r="E873" i="2" a="1"/>
  <c r="E873" i="2"/>
  <c r="E874" i="2" a="1"/>
  <c r="E874" i="2"/>
  <c r="E875" i="2" a="1"/>
  <c r="E875" i="2"/>
  <c r="E876" i="2" a="1"/>
  <c r="E876" i="2"/>
  <c r="E877" i="2" a="1"/>
  <c r="E877" i="2"/>
  <c r="E878" i="2" a="1"/>
  <c r="E878" i="2"/>
  <c r="E879" i="2" a="1"/>
  <c r="E879" i="2"/>
  <c r="E880" i="2" a="1"/>
  <c r="E880" i="2"/>
  <c r="E881" i="2" a="1"/>
  <c r="E881" i="2"/>
  <c r="E882" i="2" a="1"/>
  <c r="E882" i="2"/>
  <c r="E883" i="2" a="1"/>
  <c r="E883" i="2"/>
  <c r="E884" i="2" a="1"/>
  <c r="E884" i="2"/>
  <c r="E885" i="2" a="1"/>
  <c r="E885" i="2"/>
  <c r="E886" i="2" a="1"/>
  <c r="E886" i="2"/>
  <c r="E887" i="2" a="1"/>
  <c r="E887" i="2"/>
  <c r="E888" i="2" a="1"/>
  <c r="E888" i="2"/>
  <c r="E889" i="2" a="1"/>
  <c r="E889" i="2"/>
  <c r="E890" i="2" a="1"/>
  <c r="E890" i="2"/>
  <c r="E891" i="2" a="1"/>
  <c r="E891" i="2"/>
  <c r="E892" i="2" a="1"/>
  <c r="E892" i="2"/>
  <c r="E893" i="2" a="1"/>
  <c r="E893" i="2"/>
  <c r="E894" i="2" a="1"/>
  <c r="E894" i="2"/>
  <c r="E895" i="2" a="1"/>
  <c r="E895" i="2"/>
  <c r="E896" i="2" a="1"/>
  <c r="E896" i="2"/>
  <c r="E897" i="2" a="1"/>
  <c r="E897" i="2"/>
  <c r="E898" i="2" a="1"/>
  <c r="E898" i="2"/>
  <c r="E899" i="2" a="1"/>
  <c r="E899" i="2"/>
  <c r="E900" i="2" a="1"/>
  <c r="E900" i="2"/>
  <c r="E901" i="2" a="1"/>
  <c r="E901" i="2"/>
  <c r="E902" i="2" a="1"/>
  <c r="E902" i="2"/>
  <c r="E903" i="2" a="1"/>
  <c r="E903" i="2"/>
  <c r="E904" i="2" a="1"/>
  <c r="E904" i="2"/>
  <c r="E905" i="2" a="1"/>
  <c r="E905" i="2"/>
  <c r="E906" i="2" a="1"/>
  <c r="E906" i="2"/>
  <c r="E907" i="2" a="1"/>
  <c r="E907" i="2"/>
  <c r="E908" i="2" a="1"/>
  <c r="E908" i="2"/>
  <c r="E909" i="2" a="1"/>
  <c r="E909" i="2"/>
  <c r="E910" i="2" a="1"/>
  <c r="E910" i="2"/>
  <c r="E911" i="2" a="1"/>
  <c r="E911" i="2"/>
  <c r="E912" i="2" a="1"/>
  <c r="E912" i="2"/>
  <c r="E913" i="2" a="1"/>
  <c r="E913" i="2"/>
  <c r="E914" i="2" a="1"/>
  <c r="E914" i="2"/>
  <c r="E915" i="2" a="1"/>
  <c r="E915" i="2"/>
  <c r="E916" i="2" a="1"/>
  <c r="E916" i="2"/>
  <c r="E917" i="2" a="1"/>
  <c r="E917" i="2"/>
  <c r="E918" i="2" a="1"/>
  <c r="E918" i="2"/>
  <c r="E919" i="2" a="1"/>
  <c r="E919" i="2"/>
  <c r="E920" i="2" a="1"/>
  <c r="E920" i="2"/>
  <c r="E921" i="2" a="1"/>
  <c r="E921" i="2"/>
  <c r="E922" i="2" a="1"/>
  <c r="E922" i="2"/>
  <c r="E923" i="2" a="1"/>
  <c r="E923" i="2"/>
  <c r="E924" i="2" a="1"/>
  <c r="E924" i="2"/>
  <c r="E925" i="2" a="1"/>
  <c r="E925" i="2"/>
  <c r="E926" i="2" a="1"/>
  <c r="E926" i="2"/>
  <c r="E927" i="2" a="1"/>
  <c r="E927" i="2"/>
  <c r="E928" i="2" a="1"/>
  <c r="E928" i="2"/>
  <c r="E929" i="2" a="1"/>
  <c r="E929" i="2"/>
  <c r="E930" i="2" a="1"/>
  <c r="E930" i="2"/>
  <c r="E931" i="2" a="1"/>
  <c r="E931" i="2"/>
  <c r="E932" i="2" a="1"/>
  <c r="E932" i="2"/>
  <c r="E933" i="2" a="1"/>
  <c r="E933" i="2"/>
  <c r="E934" i="2" a="1"/>
  <c r="E934" i="2"/>
  <c r="E935" i="2" a="1"/>
  <c r="E935" i="2"/>
  <c r="E936" i="2" a="1"/>
  <c r="E936" i="2"/>
  <c r="E937" i="2" a="1"/>
  <c r="E937" i="2"/>
  <c r="E938" i="2" a="1"/>
  <c r="E938" i="2"/>
  <c r="E939" i="2" a="1"/>
  <c r="E939" i="2"/>
  <c r="E940" i="2" a="1"/>
  <c r="E940" i="2"/>
  <c r="E941" i="2" a="1"/>
  <c r="E941" i="2"/>
  <c r="E942" i="2" a="1"/>
  <c r="E942" i="2"/>
  <c r="E943" i="2" a="1"/>
  <c r="E943" i="2"/>
  <c r="E944" i="2" a="1"/>
  <c r="E944" i="2"/>
  <c r="E945" i="2" a="1"/>
  <c r="E945" i="2"/>
  <c r="E946" i="2" a="1"/>
  <c r="E946" i="2"/>
  <c r="E947" i="2" a="1"/>
  <c r="E947" i="2"/>
  <c r="E948" i="2" a="1"/>
  <c r="E948" i="2"/>
  <c r="E949" i="2" a="1"/>
  <c r="E949" i="2"/>
  <c r="E950" i="2" a="1"/>
  <c r="E950" i="2"/>
  <c r="E951" i="2" a="1"/>
  <c r="E951" i="2"/>
  <c r="E952" i="2" a="1"/>
  <c r="E952" i="2"/>
  <c r="E953" i="2" a="1"/>
  <c r="E953" i="2"/>
  <c r="E954" i="2" a="1"/>
  <c r="E954" i="2"/>
  <c r="E955" i="2" a="1"/>
  <c r="E955" i="2"/>
  <c r="E956" i="2" a="1"/>
  <c r="E956" i="2"/>
  <c r="E957" i="2" a="1"/>
  <c r="E957" i="2"/>
  <c r="E958" i="2" a="1"/>
  <c r="E958" i="2"/>
  <c r="E959" i="2" a="1"/>
  <c r="E959" i="2"/>
  <c r="E960" i="2" a="1"/>
  <c r="E960" i="2"/>
  <c r="E961" i="2" a="1"/>
  <c r="E961" i="2"/>
  <c r="E962" i="2" a="1"/>
  <c r="E962" i="2"/>
  <c r="E963" i="2" a="1"/>
  <c r="E963" i="2"/>
  <c r="E964" i="2" a="1"/>
  <c r="E964" i="2"/>
  <c r="E965" i="2" a="1"/>
  <c r="E965" i="2"/>
  <c r="E966" i="2" a="1"/>
  <c r="E966" i="2"/>
  <c r="E967" i="2" a="1"/>
  <c r="E967" i="2"/>
  <c r="E968" i="2" a="1"/>
  <c r="E968" i="2"/>
  <c r="E969" i="2" a="1"/>
  <c r="E969" i="2"/>
  <c r="E970" i="2" a="1"/>
  <c r="E970" i="2"/>
  <c r="E971" i="2" a="1"/>
  <c r="E971" i="2"/>
  <c r="E972" i="2" a="1"/>
  <c r="E972" i="2"/>
  <c r="E973" i="2" a="1"/>
  <c r="E973" i="2"/>
  <c r="E974" i="2" a="1"/>
  <c r="E974" i="2"/>
  <c r="E975" i="2" a="1"/>
  <c r="E975" i="2"/>
  <c r="E976" i="2" a="1"/>
  <c r="E976" i="2"/>
  <c r="E977" i="2" a="1"/>
  <c r="E977" i="2"/>
  <c r="E978" i="2" a="1"/>
  <c r="E978" i="2"/>
  <c r="E979" i="2" a="1"/>
  <c r="E979" i="2"/>
  <c r="E980" i="2" a="1"/>
  <c r="E980" i="2"/>
  <c r="E981" i="2" a="1"/>
  <c r="E981" i="2"/>
  <c r="E982" i="2" a="1"/>
  <c r="E982" i="2"/>
  <c r="E983" i="2" a="1"/>
  <c r="E983" i="2"/>
  <c r="E984" i="2" a="1"/>
  <c r="E984" i="2"/>
  <c r="E985" i="2" a="1"/>
  <c r="E985" i="2"/>
  <c r="E986" i="2" a="1"/>
  <c r="E986" i="2"/>
  <c r="E987" i="2" a="1"/>
  <c r="E987" i="2"/>
  <c r="E988" i="2" a="1"/>
  <c r="E988" i="2"/>
  <c r="E989" i="2" a="1"/>
  <c r="E989" i="2"/>
  <c r="E990" i="2" a="1"/>
  <c r="E990" i="2"/>
  <c r="E991" i="2" a="1"/>
  <c r="E991" i="2"/>
  <c r="E992" i="2" a="1"/>
  <c r="E992" i="2"/>
  <c r="E993" i="2" a="1"/>
  <c r="E993" i="2"/>
  <c r="E994" i="2" a="1"/>
  <c r="E994" i="2"/>
  <c r="E995" i="2" a="1"/>
  <c r="E995" i="2"/>
  <c r="E996" i="2" a="1"/>
  <c r="E996" i="2"/>
  <c r="E997" i="2" a="1"/>
  <c r="E997" i="2"/>
  <c r="E998" i="2" a="1"/>
  <c r="E998" i="2"/>
  <c r="E999" i="2" a="1"/>
  <c r="E999" i="2"/>
  <c r="E1000" i="2" a="1"/>
  <c r="E1000" i="2"/>
  <c r="E1001" i="2" a="1"/>
  <c r="E1001" i="2"/>
  <c r="E1002" i="2" a="1"/>
  <c r="E1002" i="2"/>
  <c r="E1003" i="2" a="1"/>
  <c r="E1003" i="2"/>
  <c r="E1004" i="2" a="1"/>
  <c r="E1004" i="2"/>
  <c r="E1005" i="2" a="1"/>
  <c r="E1005" i="2"/>
  <c r="E1006" i="2" a="1"/>
  <c r="E1006" i="2"/>
  <c r="E1007" i="2" a="1"/>
  <c r="E1007" i="2"/>
  <c r="E1008" i="2" a="1"/>
  <c r="E1008" i="2"/>
  <c r="E1009" i="2" a="1"/>
  <c r="E1009" i="2"/>
  <c r="E1010" i="2" a="1"/>
  <c r="E1010" i="2"/>
  <c r="E1011" i="2" a="1"/>
  <c r="E1011" i="2"/>
  <c r="E1012" i="2" a="1"/>
  <c r="E1012" i="2"/>
  <c r="E1013" i="2" a="1"/>
  <c r="E1013" i="2"/>
  <c r="E1014" i="2" a="1"/>
  <c r="E1014" i="2"/>
  <c r="E1015" i="2" a="1"/>
  <c r="E1015" i="2"/>
  <c r="E1016" i="2" a="1"/>
  <c r="E1016" i="2"/>
  <c r="E1017" i="2" a="1"/>
  <c r="E1017" i="2"/>
  <c r="E1018" i="2" a="1"/>
  <c r="E1018" i="2"/>
  <c r="E1019" i="2" a="1"/>
  <c r="E1019" i="2"/>
  <c r="E1020" i="2" a="1"/>
  <c r="E1020" i="2"/>
  <c r="E1021" i="2" a="1"/>
  <c r="E1021" i="2"/>
  <c r="E1022" i="2" a="1"/>
  <c r="E1022" i="2"/>
  <c r="E1023" i="2" a="1"/>
  <c r="E1023" i="2"/>
  <c r="E1024" i="2" a="1"/>
  <c r="E1024" i="2"/>
  <c r="E1025" i="2" a="1"/>
  <c r="E1025" i="2"/>
  <c r="E1026" i="2" a="1"/>
  <c r="E1026" i="2"/>
  <c r="E1027" i="2" a="1"/>
  <c r="E1027" i="2"/>
  <c r="E1028" i="2" a="1"/>
  <c r="E1028" i="2"/>
  <c r="E1029" i="2" a="1"/>
  <c r="E1029" i="2"/>
  <c r="E1030" i="2" a="1"/>
  <c r="E1030" i="2"/>
  <c r="E1031" i="2" a="1"/>
  <c r="E1031" i="2"/>
  <c r="E1032" i="2" a="1"/>
  <c r="E1032" i="2"/>
  <c r="E1033" i="2" a="1"/>
  <c r="E1033" i="2"/>
  <c r="E1034" i="2" a="1"/>
  <c r="E1034" i="2"/>
  <c r="E1035" i="2" a="1"/>
  <c r="E1035" i="2"/>
  <c r="E1036" i="2" a="1"/>
  <c r="E1036" i="2"/>
  <c r="E1037" i="2" a="1"/>
  <c r="E1037" i="2"/>
  <c r="E1038" i="2" a="1"/>
  <c r="E1038" i="2"/>
  <c r="E1039" i="2" a="1"/>
  <c r="E1039" i="2"/>
  <c r="E1040" i="2" a="1"/>
  <c r="E1040" i="2"/>
  <c r="E1041" i="2" a="1"/>
  <c r="E1041" i="2"/>
  <c r="E1042" i="2" a="1"/>
  <c r="E1042" i="2"/>
  <c r="E1043" i="2" a="1"/>
  <c r="E1043" i="2"/>
  <c r="E1044" i="2" a="1"/>
  <c r="E1044" i="2"/>
  <c r="E1045" i="2" a="1"/>
  <c r="E1045" i="2"/>
  <c r="E1046" i="2" a="1"/>
  <c r="E1046" i="2"/>
  <c r="E1047" i="2" a="1"/>
  <c r="E1047" i="2"/>
  <c r="E1048" i="2" a="1"/>
  <c r="E1048" i="2"/>
  <c r="E1049" i="2" a="1"/>
  <c r="E1049" i="2"/>
  <c r="E1050" i="2" a="1"/>
  <c r="E1050" i="2"/>
  <c r="E1051" i="2" a="1"/>
  <c r="E1051" i="2"/>
  <c r="E1052" i="2" a="1"/>
  <c r="E1052" i="2"/>
  <c r="E1053" i="2" a="1"/>
  <c r="E1053" i="2"/>
  <c r="E1054" i="2" a="1"/>
  <c r="E1054" i="2"/>
  <c r="E1055" i="2" a="1"/>
  <c r="E1055" i="2"/>
  <c r="E1056" i="2" a="1"/>
  <c r="E1056" i="2"/>
  <c r="E1057" i="2" a="1"/>
  <c r="E1057" i="2"/>
  <c r="E1058" i="2" a="1"/>
  <c r="E1058" i="2"/>
  <c r="E1059" i="2" a="1"/>
  <c r="E1059" i="2"/>
  <c r="E1060" i="2" a="1"/>
  <c r="E1060" i="2"/>
  <c r="E1061" i="2" a="1"/>
  <c r="E1061" i="2"/>
  <c r="E1062" i="2" a="1"/>
  <c r="E1062" i="2"/>
  <c r="E1063" i="2" a="1"/>
  <c r="E1063" i="2"/>
  <c r="E1064" i="2" a="1"/>
  <c r="E1064" i="2"/>
  <c r="E1065" i="2" a="1"/>
  <c r="E1065" i="2"/>
  <c r="E1066" i="2" a="1"/>
  <c r="E1066" i="2"/>
  <c r="E1067" i="2" a="1"/>
  <c r="E1067" i="2"/>
  <c r="E1068" i="2" a="1"/>
  <c r="E1068" i="2"/>
  <c r="E1069" i="2" a="1"/>
  <c r="E1069" i="2"/>
  <c r="E1070" i="2" a="1"/>
  <c r="E1070" i="2"/>
  <c r="E1071" i="2" a="1"/>
  <c r="E1071" i="2"/>
  <c r="E1072" i="2" a="1"/>
  <c r="E1072" i="2"/>
  <c r="E1073" i="2" a="1"/>
  <c r="E1073" i="2"/>
  <c r="E1074" i="2" a="1"/>
  <c r="E1074" i="2"/>
  <c r="E1075" i="2" a="1"/>
  <c r="E1075" i="2"/>
  <c r="E1076" i="2" a="1"/>
  <c r="E1076" i="2"/>
  <c r="E1077" i="2" a="1"/>
  <c r="E1077" i="2"/>
  <c r="E1078" i="2" a="1"/>
  <c r="E1078" i="2"/>
  <c r="E1079" i="2" a="1"/>
  <c r="E1079" i="2"/>
  <c r="E1080" i="2" a="1"/>
  <c r="E1080" i="2"/>
  <c r="E1081" i="2" a="1"/>
  <c r="E1081" i="2"/>
  <c r="E1082" i="2" a="1"/>
  <c r="E1082" i="2"/>
  <c r="E1083" i="2" a="1"/>
  <c r="E1083" i="2"/>
  <c r="E1084" i="2" a="1"/>
  <c r="E1084" i="2"/>
  <c r="E1085" i="2" a="1"/>
  <c r="E1085" i="2"/>
  <c r="E1086" i="2" a="1"/>
  <c r="E1086" i="2"/>
  <c r="E1087" i="2" a="1"/>
  <c r="E1087" i="2"/>
  <c r="E1088" i="2" a="1"/>
  <c r="E1088" i="2"/>
  <c r="E1089" i="2" a="1"/>
  <c r="E1089" i="2"/>
  <c r="E1090" i="2" a="1"/>
  <c r="E1090" i="2"/>
  <c r="E1091" i="2" a="1"/>
  <c r="E1091" i="2"/>
  <c r="E1092" i="2" a="1"/>
  <c r="E1092" i="2"/>
  <c r="E1093" i="2" a="1"/>
  <c r="E1093" i="2"/>
  <c r="E1094" i="2" a="1"/>
  <c r="E1094" i="2"/>
  <c r="E1095" i="2" a="1"/>
  <c r="E1095" i="2"/>
  <c r="E1096" i="2" a="1"/>
  <c r="E1096" i="2"/>
  <c r="E1097" i="2" a="1"/>
  <c r="E1097" i="2"/>
  <c r="E1098" i="2" a="1"/>
  <c r="E1098" i="2"/>
  <c r="E1099" i="2" a="1"/>
  <c r="E1099" i="2"/>
  <c r="E1100" i="2" a="1"/>
  <c r="E1100" i="2"/>
  <c r="E1101" i="2" a="1"/>
  <c r="E1101" i="2"/>
  <c r="E1102" i="2" a="1"/>
  <c r="E1102" i="2"/>
  <c r="E1103" i="2" a="1"/>
  <c r="E1103" i="2"/>
  <c r="E1104" i="2" a="1"/>
  <c r="E1104" i="2"/>
  <c r="E1105" i="2" a="1"/>
  <c r="E1105" i="2"/>
  <c r="E1106" i="2" a="1"/>
  <c r="E1106" i="2"/>
  <c r="E1107" i="2" a="1"/>
  <c r="E1107" i="2"/>
  <c r="E1108" i="2" a="1"/>
  <c r="E1108" i="2"/>
  <c r="E1109" i="2" a="1"/>
  <c r="E1109" i="2"/>
  <c r="E1110" i="2" a="1"/>
  <c r="E1110" i="2"/>
  <c r="E1111" i="2" a="1"/>
  <c r="E1111" i="2"/>
  <c r="E1112" i="2" a="1"/>
  <c r="E1112" i="2"/>
  <c r="E1113" i="2" a="1"/>
  <c r="E1113" i="2"/>
  <c r="E1114" i="2" a="1"/>
  <c r="E1114" i="2"/>
  <c r="E1115" i="2" a="1"/>
  <c r="E1115" i="2"/>
  <c r="E1116" i="2" a="1"/>
  <c r="E1116" i="2"/>
  <c r="E1117" i="2" a="1"/>
  <c r="E1117" i="2"/>
  <c r="E1118" i="2" a="1"/>
  <c r="E1118" i="2"/>
  <c r="E1119" i="2" a="1"/>
  <c r="E1119" i="2"/>
  <c r="E1120" i="2" a="1"/>
  <c r="E1120" i="2"/>
  <c r="E1121" i="2" a="1"/>
  <c r="E1121" i="2"/>
  <c r="E1122" i="2" a="1"/>
  <c r="E1122" i="2"/>
  <c r="E1123" i="2" a="1"/>
  <c r="E1123" i="2"/>
  <c r="E1124" i="2" a="1"/>
  <c r="E1124" i="2"/>
  <c r="E1125" i="2" a="1"/>
  <c r="E1125" i="2"/>
  <c r="E1126" i="2" a="1"/>
  <c r="E1126" i="2"/>
  <c r="E1127" i="2" a="1"/>
  <c r="E1127" i="2"/>
  <c r="E1128" i="2" a="1"/>
  <c r="E1128" i="2"/>
  <c r="E1129" i="2" a="1"/>
  <c r="E1129" i="2"/>
  <c r="E1130" i="2" a="1"/>
  <c r="E1130" i="2"/>
  <c r="E1131" i="2" a="1"/>
  <c r="E1131" i="2"/>
  <c r="E1132" i="2" a="1"/>
  <c r="E1132" i="2"/>
  <c r="E1133" i="2" a="1"/>
  <c r="E1133" i="2"/>
  <c r="E1134" i="2" a="1"/>
  <c r="E1134" i="2"/>
  <c r="E2" i="2" a="1"/>
  <c r="E2" i="2" s="1"/>
  <c r="AX6" i="5"/>
  <c r="AX5" i="5"/>
  <c r="AT7" i="5"/>
  <c r="AT5" i="5"/>
  <c r="AT11" i="5"/>
  <c r="AT6" i="5"/>
  <c r="AT10" i="5"/>
  <c r="AT8" i="5"/>
  <c r="AT12" i="5"/>
  <c r="AT9" i="5"/>
  <c r="AR7" i="5"/>
  <c r="AR5" i="5"/>
  <c r="AR11" i="5"/>
  <c r="AR6" i="5"/>
  <c r="AR10" i="5"/>
  <c r="AR8" i="5"/>
  <c r="AR12" i="5"/>
  <c r="AR9" i="5"/>
  <c r="AQ7" i="5"/>
  <c r="AQ5" i="5"/>
  <c r="AQ11" i="5"/>
  <c r="AQ6" i="5"/>
  <c r="AQ10" i="5"/>
  <c r="AQ8" i="5"/>
  <c r="AQ12" i="5"/>
  <c r="AQ9" i="5"/>
  <c r="AL7" i="5"/>
  <c r="AM7" i="5"/>
  <c r="AN7" i="5"/>
  <c r="AO7" i="5"/>
  <c r="AP7" i="5"/>
  <c r="AL5" i="5"/>
  <c r="AM5" i="5"/>
  <c r="AN5" i="5"/>
  <c r="AO5" i="5"/>
  <c r="AP5" i="5"/>
  <c r="AL11" i="5"/>
  <c r="AM11" i="5"/>
  <c r="AN11" i="5"/>
  <c r="AO11" i="5"/>
  <c r="AP11" i="5"/>
  <c r="AL6" i="5"/>
  <c r="AM6" i="5"/>
  <c r="AN6" i="5"/>
  <c r="AO6" i="5"/>
  <c r="AP6" i="5"/>
  <c r="AL10" i="5"/>
  <c r="AM10" i="5"/>
  <c r="AN10" i="5"/>
  <c r="AO10" i="5"/>
  <c r="AP10" i="5"/>
  <c r="AL8" i="5"/>
  <c r="AM8" i="5"/>
  <c r="AN8" i="5"/>
  <c r="AO8" i="5"/>
  <c r="AP8" i="5"/>
  <c r="AL12" i="5"/>
  <c r="AM12" i="5"/>
  <c r="AN12" i="5"/>
  <c r="AO12" i="5"/>
  <c r="AP12" i="5"/>
  <c r="AM9" i="5"/>
  <c r="AN9" i="5"/>
  <c r="AO9" i="5"/>
  <c r="AP9" i="5"/>
  <c r="AL9" i="5"/>
  <c r="AA13" i="5"/>
  <c r="AB13" i="5"/>
  <c r="AC13" i="5"/>
  <c r="AD13" i="5"/>
  <c r="Z13" i="5"/>
  <c r="AE6" i="5"/>
  <c r="AE21" i="5" s="1"/>
  <c r="AE7" i="5"/>
  <c r="AE22" i="5" s="1"/>
  <c r="AE8" i="5"/>
  <c r="AE9" i="5"/>
  <c r="AE24" i="5" s="1"/>
  <c r="AE10" i="5"/>
  <c r="AE25" i="5" s="1"/>
  <c r="AE11" i="5"/>
  <c r="AE12" i="5"/>
  <c r="AE27" i="5" s="1"/>
  <c r="AE5" i="5"/>
  <c r="AE20" i="5" s="1"/>
  <c r="Z6" i="5"/>
  <c r="AA6" i="5"/>
  <c r="AB6" i="5"/>
  <c r="AC6" i="5"/>
  <c r="AD6" i="5"/>
  <c r="AD21" i="5" s="1"/>
  <c r="Z7" i="5"/>
  <c r="Z22" i="5" s="1"/>
  <c r="AA7" i="5"/>
  <c r="AB7" i="5"/>
  <c r="AC7" i="5"/>
  <c r="AD7" i="5"/>
  <c r="Z8" i="5"/>
  <c r="AA8" i="5"/>
  <c r="AB8" i="5"/>
  <c r="AC8" i="5"/>
  <c r="AD8" i="5"/>
  <c r="Z9" i="5"/>
  <c r="AA9" i="5"/>
  <c r="AB9" i="5"/>
  <c r="AC9" i="5"/>
  <c r="AD9" i="5"/>
  <c r="Z10" i="5"/>
  <c r="Z25" i="5" s="1"/>
  <c r="AA10" i="5"/>
  <c r="AB10" i="5"/>
  <c r="AC10" i="5"/>
  <c r="AD10" i="5"/>
  <c r="Z11" i="5"/>
  <c r="AA11" i="5"/>
  <c r="AB11" i="5"/>
  <c r="AC11" i="5"/>
  <c r="AD11" i="5"/>
  <c r="Z12" i="5"/>
  <c r="AA12" i="5"/>
  <c r="AB12" i="5"/>
  <c r="AC12" i="5"/>
  <c r="AD12" i="5"/>
  <c r="AD27" i="5" s="1"/>
  <c r="AA5" i="5"/>
  <c r="AA20" i="5" s="1"/>
  <c r="AB5" i="5"/>
  <c r="AC5" i="5"/>
  <c r="AD5" i="5"/>
  <c r="Z5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2" i="2"/>
  <c r="N2" i="2"/>
  <c r="M2" i="2"/>
  <c r="L2" i="2"/>
  <c r="K2" i="2"/>
  <c r="P4" i="5"/>
  <c r="P5" i="5"/>
  <c r="P6" i="5"/>
  <c r="P7" i="5"/>
  <c r="P8" i="5"/>
  <c r="P9" i="5"/>
  <c r="P10" i="5"/>
  <c r="P3" i="5"/>
  <c r="J4" i="5"/>
  <c r="J5" i="5"/>
  <c r="J6" i="5"/>
  <c r="J7" i="5"/>
  <c r="J8" i="5"/>
  <c r="J3" i="5"/>
  <c r="D4" i="5"/>
  <c r="D5" i="5"/>
  <c r="D6" i="5"/>
  <c r="D7" i="5"/>
  <c r="D8" i="5"/>
  <c r="D9" i="5"/>
  <c r="D10" i="5"/>
  <c r="D11" i="5"/>
  <c r="D3" i="5"/>
  <c r="AD20" i="5" l="1"/>
  <c r="AC20" i="5"/>
  <c r="AB20" i="5"/>
  <c r="AA22" i="5"/>
  <c r="AD24" i="5"/>
  <c r="AX9" i="5"/>
  <c r="AS6" i="5"/>
  <c r="BJ8" i="5"/>
  <c r="BI23" i="5" s="1"/>
  <c r="AS11" i="5"/>
  <c r="AB25" i="5"/>
  <c r="AX7" i="5"/>
  <c r="AA25" i="5"/>
  <c r="AS7" i="5"/>
  <c r="BG6" i="5"/>
  <c r="BG5" i="5"/>
  <c r="BE6" i="5"/>
  <c r="BE7" i="5"/>
  <c r="BI5" i="5"/>
  <c r="BI7" i="5"/>
  <c r="BD6" i="5"/>
  <c r="BD5" i="5"/>
  <c r="BC5" i="5"/>
  <c r="BC7" i="5"/>
  <c r="BB6" i="5"/>
  <c r="BC6" i="5"/>
  <c r="BE5" i="5"/>
  <c r="BB7" i="5"/>
  <c r="BB5" i="5"/>
  <c r="BH5" i="5"/>
  <c r="BF6" i="5"/>
  <c r="BF5" i="5"/>
  <c r="BH6" i="5"/>
  <c r="BH7" i="5"/>
  <c r="BG7" i="5"/>
  <c r="BF7" i="5"/>
  <c r="BI6" i="5"/>
  <c r="BD7" i="5"/>
  <c r="AS12" i="5"/>
  <c r="AS10" i="5"/>
  <c r="AS5" i="5"/>
  <c r="AX8" i="5"/>
  <c r="AS9" i="5"/>
  <c r="AD23" i="5"/>
  <c r="AS8" i="5"/>
  <c r="AD25" i="5"/>
  <c r="AC25" i="5"/>
  <c r="Z21" i="5"/>
  <c r="AC24" i="5"/>
  <c r="AB21" i="5"/>
  <c r="AA21" i="5"/>
  <c r="AD22" i="5"/>
  <c r="AC23" i="5"/>
  <c r="Z23" i="5"/>
  <c r="Z20" i="5"/>
  <c r="AC27" i="5"/>
  <c r="AA26" i="5"/>
  <c r="AB27" i="5"/>
  <c r="AC22" i="5"/>
  <c r="AA27" i="5"/>
  <c r="AB22" i="5"/>
  <c r="Z24" i="5"/>
  <c r="Z27" i="5"/>
  <c r="AA23" i="5"/>
  <c r="AE26" i="5"/>
  <c r="AC21" i="5"/>
  <c r="Z26" i="5"/>
  <c r="AE23" i="5"/>
  <c r="AB24" i="5"/>
  <c r="AA24" i="5"/>
  <c r="AD26" i="5"/>
  <c r="AC26" i="5"/>
  <c r="AB26" i="5"/>
  <c r="AB23" i="5"/>
  <c r="BD9" i="5" l="1"/>
  <c r="BE31" i="5" s="1"/>
  <c r="BF9" i="5"/>
  <c r="BG31" i="5" s="1"/>
  <c r="BH9" i="5"/>
  <c r="BI31" i="5" s="1"/>
  <c r="BC23" i="5"/>
  <c r="BD23" i="5"/>
  <c r="BG23" i="5"/>
  <c r="BC9" i="5"/>
  <c r="BD31" i="5" s="1"/>
  <c r="BI9" i="5"/>
  <c r="BJ31" i="5" s="1"/>
  <c r="BB23" i="5"/>
  <c r="BJ5" i="5"/>
  <c r="BB20" i="5" s="1"/>
  <c r="BB9" i="5"/>
  <c r="BC31" i="5" s="1"/>
  <c r="BJ7" i="5"/>
  <c r="BF22" i="5" s="1"/>
  <c r="BG9" i="5"/>
  <c r="BH31" i="5" s="1"/>
  <c r="BE23" i="5"/>
  <c r="BE9" i="5"/>
  <c r="BF31" i="5" s="1"/>
  <c r="BF23" i="5"/>
  <c r="BJ6" i="5"/>
  <c r="BG21" i="5" s="1"/>
  <c r="BH23" i="5"/>
  <c r="AX11" i="5"/>
  <c r="AX10" i="5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2" i="2"/>
  <c r="BE30" i="5" l="1"/>
  <c r="BJ28" i="5"/>
  <c r="BH29" i="5"/>
  <c r="BJ30" i="5"/>
  <c r="BH28" i="5"/>
  <c r="BF29" i="5"/>
  <c r="BG28" i="5"/>
  <c r="BI29" i="5"/>
  <c r="BI28" i="5"/>
  <c r="BE29" i="5"/>
  <c r="BG30" i="5"/>
  <c r="BE28" i="5"/>
  <c r="BJ29" i="5"/>
  <c r="BI30" i="5"/>
  <c r="BD30" i="5"/>
  <c r="BJ23" i="5"/>
  <c r="BC28" i="5"/>
  <c r="BC29" i="5"/>
  <c r="BD29" i="5"/>
  <c r="BD28" i="5"/>
  <c r="BC20" i="5"/>
  <c r="BF28" i="5"/>
  <c r="BH30" i="5"/>
  <c r="BG20" i="5"/>
  <c r="BF30" i="5"/>
  <c r="BC30" i="5"/>
  <c r="BG29" i="5"/>
  <c r="BI20" i="5"/>
  <c r="BF20" i="5"/>
  <c r="BE20" i="5"/>
  <c r="BD21" i="5"/>
  <c r="BE22" i="5"/>
  <c r="BH20" i="5"/>
  <c r="BF21" i="5"/>
  <c r="BI22" i="5"/>
  <c r="BH22" i="5"/>
  <c r="BH21" i="5"/>
  <c r="BJ9" i="5"/>
  <c r="BC21" i="5"/>
  <c r="BB21" i="5"/>
  <c r="BD20" i="5"/>
  <c r="BI21" i="5"/>
  <c r="BG22" i="5"/>
  <c r="BE21" i="5"/>
  <c r="BC22" i="5"/>
  <c r="BB22" i="5"/>
  <c r="BD22" i="5"/>
  <c r="BE32" i="5" l="1"/>
  <c r="BJ32" i="5"/>
  <c r="BH32" i="5"/>
  <c r="BG32" i="5"/>
  <c r="BF32" i="5"/>
  <c r="BJ22" i="5"/>
  <c r="BJ20" i="5"/>
  <c r="BI32" i="5"/>
  <c r="BJ21" i="5"/>
  <c r="BD32" i="5"/>
  <c r="BC3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<sst xmlns="http://schemas.openxmlformats.org/spreadsheetml/2006/main" count="7592" uniqueCount="694">
  <si>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</si>
  <si>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</si>
  <si>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</si>
  <si>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</si>
  <si>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</si>
  <si>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</si>
  <si>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</si>
  <si>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</si>
  <si>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</si>
  <si>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</si>
  <si>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</si>
  <si>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</si>
  <si>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</si>
  <si>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</si>
  <si>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</si>
  <si>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</si>
  <si>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</si>
  <si>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</si>
  <si>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</si>
  <si>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</si>
  <si>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</si>
  <si>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</si>
  <si>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</si>
  <si>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</si>
  <si>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</si>
  <si>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</si>
  <si>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</si>
  <si>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</si>
  <si>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</si>
  <si>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</si>
  <si>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</si>
  <si>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</si>
  <si>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</si>
  <si>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</si>
  <si>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</si>
  <si>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</si>
  <si>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</si>
  <si>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</si>
  <si>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</si>
  <si>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</si>
  <si>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</si>
  <si>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</si>
  <si>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</si>
  <si>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</si>
  <si>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</si>
  <si>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</si>
  <si>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</si>
  <si>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</si>
  <si>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</si>
  <si>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</si>
  <si>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</si>
  <si>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</si>
  <si>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</si>
  <si>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</si>
  <si>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</si>
  <si>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</si>
  <si>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</si>
  <si>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</si>
  <si>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</si>
  <si>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</si>
  <si>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</si>
  <si>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</si>
  <si>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</si>
  <si>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</si>
  <si>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</si>
  <si>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</si>
  <si>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</si>
  <si>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</si>
  <si>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</si>
  <si>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</si>
  <si>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</si>
  <si>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</si>
  <si>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</si>
  <si>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</si>
  <si>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</si>
  <si>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</si>
  <si>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</si>
  <si>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</si>
  <si>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</si>
  <si>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</si>
  <si>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</si>
  <si>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</si>
  <si>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</si>
  <si>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</si>
  <si>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</si>
  <si>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</si>
  <si>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</si>
  <si>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</si>
  <si>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</si>
  <si>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</si>
  <si>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</si>
  <si>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</si>
  <si>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</si>
  <si>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</si>
  <si>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</si>
  <si>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</si>
  <si>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</si>
  <si>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</si>
  <si>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</si>
  <si>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</si>
  <si>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</si>
  <si>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</si>
  <si>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</si>
  <si>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</si>
  <si>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</si>
  <si>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</si>
  <si>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</si>
  <si>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</si>
  <si>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</si>
  <si>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</si>
  <si>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</si>
  <si>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</si>
  <si>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</si>
  <si>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</si>
  <si>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</si>
  <si>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</si>
  <si>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</si>
  <si>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</si>
  <si>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</si>
  <si>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</si>
  <si>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</si>
  <si>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</si>
  <si>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</si>
  <si>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</si>
  <si>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</si>
  <si>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</si>
  <si>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</si>
  <si>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</si>
  <si>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</si>
  <si>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</si>
  <si>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</si>
  <si>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</si>
  <si>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</si>
  <si>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</si>
  <si>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</si>
  <si>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</si>
  <si>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</si>
  <si>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</si>
  <si>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</si>
  <si>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</si>
  <si>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</si>
  <si>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</si>
  <si>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</si>
  <si>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</si>
  <si>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</si>
  <si>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</si>
  <si>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</si>
  <si>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</si>
  <si>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</si>
  <si>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</si>
  <si>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</si>
  <si>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</si>
  <si>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</si>
  <si>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</si>
  <si>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</si>
  <si>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</si>
  <si>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</si>
  <si>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</si>
  <si>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</si>
  <si>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</si>
  <si>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</si>
  <si>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</si>
  <si>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</si>
  <si>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</si>
  <si>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</si>
  <si>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</si>
  <si>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</si>
  <si>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</si>
  <si>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</si>
  <si>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</si>
  <si>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</si>
  <si>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</si>
  <si>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</si>
  <si>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</si>
  <si>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</si>
  <si>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</si>
  <si>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</si>
  <si>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</si>
  <si>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</si>
  <si>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</si>
  <si>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</si>
  <si>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</si>
  <si>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</si>
  <si>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</si>
  <si>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</si>
  <si>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</si>
  <si>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</si>
  <si>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</si>
  <si>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</si>
  <si>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</si>
  <si>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</si>
  <si>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</si>
  <si>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</si>
  <si>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</si>
  <si>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</si>
  <si>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</si>
  <si>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</si>
  <si>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</si>
  <si>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</si>
  <si>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</si>
  <si>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</si>
  <si>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</si>
  <si>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</si>
  <si>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</si>
  <si>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</si>
  <si>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</si>
  <si>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</si>
  <si>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</si>
  <si>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</si>
  <si>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</si>
  <si>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</si>
  <si>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</si>
  <si>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</si>
  <si>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</si>
  <si>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</si>
  <si>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</si>
  <si>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</si>
  <si>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</si>
  <si>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</si>
  <si>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</si>
  <si>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</si>
  <si>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</si>
  <si>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</si>
  <si>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</si>
  <si>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</si>
  <si>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</si>
  <si>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</si>
  <si>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</si>
  <si>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</si>
  <si>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</si>
  <si>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</si>
  <si>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</si>
  <si>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</si>
  <si>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</si>
  <si>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</si>
  <si>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</si>
  <si>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</si>
  <si>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</si>
  <si>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</si>
  <si>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</si>
  <si>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</si>
  <si>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</si>
  <si>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</si>
  <si>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</si>
  <si>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</si>
  <si>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</si>
  <si>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</si>
  <si>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</si>
  <si>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</si>
  <si>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</si>
  <si>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</si>
  <si>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</si>
  <si>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</si>
  <si>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</si>
  <si>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</si>
  <si>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</si>
  <si>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</si>
  <si>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</si>
  <si>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</si>
  <si>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</si>
  <si>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</si>
  <si>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</si>
  <si>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</si>
  <si>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</si>
  <si>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</si>
  <si>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</si>
  <si>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</si>
  <si>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</si>
  <si>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</si>
  <si>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</si>
  <si>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</si>
  <si>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</si>
  <si>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</si>
  <si>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</si>
  <si>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</si>
  <si>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</si>
  <si>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</si>
  <si>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</si>
  <si>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</si>
  <si>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</si>
  <si>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</si>
  <si>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</si>
  <si>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</si>
  <si>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</si>
  <si>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</si>
  <si>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</si>
  <si>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</si>
  <si>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</si>
  <si>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</si>
  <si>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</si>
  <si>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</si>
  <si>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</si>
  <si>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</si>
  <si>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</si>
  <si>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</si>
  <si>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</si>
  <si>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</si>
  <si>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</si>
  <si>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</si>
  <si>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</si>
  <si>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</si>
  <si>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</si>
  <si>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</si>
  <si>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</si>
  <si>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</si>
  <si>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</si>
  <si>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</si>
  <si>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</si>
  <si>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</si>
  <si>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</si>
  <si>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</si>
  <si>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</si>
  <si>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</si>
  <si>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</si>
  <si>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</si>
  <si>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</si>
  <si>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</si>
  <si>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</si>
  <si>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</si>
  <si>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</si>
  <si>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</si>
  <si>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</si>
  <si>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</si>
  <si>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</si>
  <si>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</si>
  <si>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</si>
  <si>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</si>
  <si>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</si>
  <si>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</si>
  <si>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</si>
  <si>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</si>
  <si>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</si>
  <si>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</si>
  <si>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</si>
  <si>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</si>
  <si>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</si>
  <si>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</si>
  <si>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</si>
  <si>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</si>
  <si>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</si>
  <si>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</si>
  <si>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</si>
  <si>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</si>
  <si>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</si>
  <si>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</si>
  <si>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</si>
  <si>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</si>
  <si>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</si>
  <si>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</si>
  <si>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</si>
  <si>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</si>
  <si>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</si>
  <si>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</si>
  <si>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</si>
  <si>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</si>
  <si>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</si>
  <si>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</si>
  <si>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</si>
  <si>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</si>
  <si>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</si>
  <si>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</si>
  <si>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</si>
  <si>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</si>
  <si>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</si>
  <si>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</si>
  <si>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</si>
  <si>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</si>
  <si>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</si>
  <si>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</si>
  <si>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</si>
  <si>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</si>
  <si>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</si>
  <si>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</si>
  <si>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</si>
  <si>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</si>
  <si>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</si>
  <si>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</si>
  <si>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</si>
  <si>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</si>
  <si>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</si>
  <si>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</si>
  <si>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</si>
  <si>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</si>
  <si>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</si>
  <si>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</si>
  <si>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</si>
  <si>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</si>
  <si>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</si>
  <si>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</si>
  <si>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</si>
  <si>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</si>
  <si>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</si>
  <si>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</si>
  <si>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</si>
  <si>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</si>
  <si>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</si>
  <si>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</si>
  <si>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</si>
  <si>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</si>
  <si>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</si>
  <si>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</si>
  <si>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</si>
  <si>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</si>
  <si>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</si>
  <si>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</si>
  <si>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</si>
  <si>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</si>
  <si>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</si>
  <si>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</si>
  <si>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</si>
  <si>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</si>
  <si>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</si>
  <si>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</si>
  <si>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</si>
  <si>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</si>
  <si>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</si>
  <si>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</si>
  <si>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</si>
  <si>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</si>
  <si>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</si>
  <si>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</si>
  <si>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</si>
  <si>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</si>
  <si>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</si>
  <si>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</si>
  <si>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</si>
  <si>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</si>
  <si>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</si>
  <si>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</si>
  <si>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</si>
  <si>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</si>
  <si>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</si>
  <si>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</si>
  <si>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</si>
  <si>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</si>
  <si>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</si>
  <si>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</si>
  <si>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</si>
  <si>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</si>
  <si>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</si>
  <si>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</si>
  <si>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</si>
  <si>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</si>
  <si>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</si>
  <si>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</si>
  <si>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</si>
  <si>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</si>
  <si>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</si>
  <si>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</si>
  <si>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</si>
  <si>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</si>
  <si>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</si>
  <si>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</si>
  <si>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</si>
  <si>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</si>
  <si>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</si>
  <si>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</si>
  <si>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</si>
  <si>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</si>
  <si>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</si>
  <si>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</si>
  <si>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Weekday</t>
  </si>
  <si>
    <t>Hour</t>
  </si>
  <si>
    <t>Cash Payment</t>
  </si>
  <si>
    <t>Row Labels</t>
  </si>
  <si>
    <t>Grand Total</t>
  </si>
  <si>
    <t>Count of coffee_name</t>
  </si>
  <si>
    <t>Mar</t>
  </si>
  <si>
    <t>Apr</t>
  </si>
  <si>
    <t>May</t>
  </si>
  <si>
    <t>Jun</t>
  </si>
  <si>
    <t>Jul</t>
  </si>
  <si>
    <t>Sunday</t>
  </si>
  <si>
    <t>Monday</t>
  </si>
  <si>
    <t>Tuesday</t>
  </si>
  <si>
    <t>Wednesday</t>
  </si>
  <si>
    <t>Thursday</t>
  </si>
  <si>
    <t>Friday</t>
  </si>
  <si>
    <t>Saturday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</si>
  <si>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</si>
  <si>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</si>
  <si>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</si>
  <si>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</si>
  <si>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</si>
  <si>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</si>
  <si>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</si>
  <si>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</si>
  <si>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</si>
  <si>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</si>
  <si>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</si>
  <si>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</si>
  <si>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</si>
  <si>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</si>
  <si>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</si>
  <si>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</si>
  <si>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</si>
  <si>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</si>
  <si>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</si>
  <si>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</si>
  <si>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</si>
  <si>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</si>
  <si>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</si>
  <si>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</si>
  <si>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</si>
  <si>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</si>
  <si>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</si>
  <si>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</si>
  <si>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</si>
  <si>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</si>
  <si>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</si>
  <si>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</si>
  <si>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</si>
  <si>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</si>
  <si>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</si>
  <si>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</si>
  <si>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</si>
  <si>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</si>
  <si>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</si>
  <si>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</si>
  <si>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</si>
  <si>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</si>
  <si>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</si>
  <si>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</si>
  <si>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</si>
  <si>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</si>
  <si>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</si>
  <si>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</si>
  <si>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</si>
  <si>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</si>
  <si>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</si>
  <si>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</si>
  <si>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</si>
  <si>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</si>
  <si>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</si>
  <si>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</si>
  <si>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</si>
  <si>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</si>
  <si>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</si>
  <si>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</si>
  <si>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</si>
  <si>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02-May</t>
  </si>
  <si>
    <t>03-May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</si>
  <si>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</si>
  <si>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</si>
  <si>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</si>
  <si>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</si>
  <si>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</si>
  <si>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</si>
  <si>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</si>
  <si>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</si>
  <si>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</si>
  <si>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</si>
  <si>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</si>
  <si>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</si>
  <si>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</si>
  <si>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</si>
  <si>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</si>
  <si>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</si>
  <si>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</si>
  <si>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</si>
  <si>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</si>
  <si>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</si>
  <si>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</si>
  <si>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</si>
  <si>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</si>
  <si>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</si>
  <si>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</si>
  <si>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</si>
  <si>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</si>
  <si>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</si>
  <si>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</si>
  <si>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</si>
  <si>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</si>
  <si>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</si>
  <si>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</si>
  <si>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</si>
  <si>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</si>
  <si>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</si>
  <si>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</si>
  <si>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</si>
  <si>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</si>
  <si>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</si>
  <si>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</si>
  <si>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</si>
  <si>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</si>
  <si>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</si>
  <si>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</si>
  <si>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</si>
  <si>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</si>
  <si>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</si>
  <si>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</si>
  <si>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</si>
  <si>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</si>
  <si>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</si>
  <si>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</si>
  <si>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</si>
  <si>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</si>
  <si>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</si>
  <si>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</si>
  <si>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</si>
  <si>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</si>
  <si>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</si>
  <si>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</si>
  <si>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</si>
  <si>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</si>
  <si>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</si>
  <si>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</si>
  <si>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</si>
  <si>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</si>
  <si>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</si>
  <si>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</si>
  <si>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</si>
  <si>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</si>
  <si>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</si>
  <si>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</si>
  <si>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</si>
  <si>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</si>
  <si>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</si>
  <si>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</si>
  <si>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</si>
  <si>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</si>
  <si>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</si>
  <si>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</si>
  <si>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</si>
  <si>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</si>
  <si>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</si>
  <si>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</si>
  <si>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</si>
  <si>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</si>
  <si>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Sample is good</t>
  </si>
  <si>
    <t>sample is not good</t>
  </si>
  <si>
    <t>Need to change Blank cells into Cash Payment</t>
  </si>
  <si>
    <t>sample is good</t>
  </si>
  <si>
    <t>% of Column</t>
  </si>
  <si>
    <t>#</t>
  </si>
  <si>
    <t>% of column</t>
  </si>
  <si>
    <t xml:space="preserve">% of Column </t>
  </si>
  <si>
    <t>% column</t>
  </si>
  <si>
    <t xml:space="preserve">% </t>
  </si>
  <si>
    <t>Revenue</t>
  </si>
  <si>
    <t>Coffee-names</t>
  </si>
  <si>
    <t>Insights:</t>
  </si>
  <si>
    <t>Latte is the top revenue-generating product, followed by Americano with Milk</t>
  </si>
  <si>
    <t>Conclusion:</t>
  </si>
  <si>
    <t>Latte is getting high revenue, we should take this for further analysis</t>
  </si>
  <si>
    <t>Trend over Coffee sales is almost relatively stable</t>
  </si>
  <si>
    <t xml:space="preserve">we should take this for further analysis </t>
  </si>
  <si>
    <t>Card Payments as the Primary Payment Method</t>
  </si>
  <si>
    <t>Average Revenue</t>
  </si>
  <si>
    <t>% delta</t>
  </si>
  <si>
    <t>A significant variation is observed for these coffees</t>
  </si>
  <si>
    <t>Dive deeper</t>
  </si>
  <si>
    <t>Sales were quite stable during march to june</t>
  </si>
  <si>
    <t>A decline is observed with a deviation of -12%</t>
  </si>
  <si>
    <t>take it forward for analysis</t>
  </si>
  <si>
    <t>Almost Stable</t>
  </si>
  <si>
    <t xml:space="preserve">weekday effect is negligible.
</t>
  </si>
  <si>
    <t>Month</t>
  </si>
  <si>
    <t>March</t>
  </si>
  <si>
    <t>April</t>
  </si>
  <si>
    <t>June</t>
  </si>
  <si>
    <t>July</t>
  </si>
  <si>
    <t>Average</t>
  </si>
  <si>
    <t>Total Revenue</t>
  </si>
  <si>
    <t>No.of Purchases</t>
  </si>
  <si>
    <t>Price Per Coffee</t>
  </si>
  <si>
    <t>Metric</t>
  </si>
  <si>
    <t>Values</t>
  </si>
  <si>
    <t>Total No of Coffee Types</t>
  </si>
  <si>
    <t>Highest Revenue Coffee</t>
  </si>
  <si>
    <t>Lowest Revenue Coffee</t>
  </si>
  <si>
    <t>Average Revenue per coffee</t>
  </si>
  <si>
    <t>Premium Coffee</t>
  </si>
  <si>
    <t>Least Expensive Coffee</t>
  </si>
  <si>
    <t>Insights</t>
  </si>
  <si>
    <t>Every coffee, regardless of type, had a negative deviation in July, a possible indicator of seasonal downturn or reduced footfall</t>
  </si>
  <si>
    <t>March and April consistently show positive deviations across almost all coffee types</t>
  </si>
  <si>
    <t>Investigate July's low performance (weather, customer visits, competing cold drinks)</t>
  </si>
  <si>
    <t>Cortado had the steepest drop -17%, followed by Espresso and Americano at -13%.</t>
  </si>
  <si>
    <t>Cocoa, Cortado, and Espresso have relatively flat revenue lines, implying consistent but modest sales- Loyal customers /Niche Customers</t>
  </si>
  <si>
    <r>
      <t>Americano with Milk</t>
    </r>
    <r>
      <rPr>
        <sz val="11"/>
        <color theme="1"/>
        <rFont val="Calibri"/>
        <family val="2"/>
        <scheme val="minor"/>
      </rPr>
      <t xml:space="preserve"> and Latte are the highest revenue contributors, peaking in May and June.</t>
    </r>
  </si>
  <si>
    <t>Latte generates the highest revenue among all coffee types, while Americano with Milk has the highest number of units sold.</t>
  </si>
  <si>
    <t xml:space="preserve"> Espresso contributes the least to overall revenue, although Cocoa records the lowest number of units sold.</t>
  </si>
  <si>
    <t>16-20</t>
  </si>
  <si>
    <t xml:space="preserve">20-24 </t>
  </si>
  <si>
    <t>7-12</t>
  </si>
  <si>
    <t>12-16</t>
  </si>
  <si>
    <t>TOTAL</t>
  </si>
  <si>
    <t>Coffee</t>
  </si>
  <si>
    <r>
      <t>7-12 (Morning)</t>
    </r>
    <r>
      <rPr>
        <sz val="11"/>
        <color theme="1"/>
        <rFont val="Calibri"/>
        <family val="2"/>
        <scheme val="minor"/>
      </rPr>
      <t xml:space="preserve"> and 16-20 (Evening) are tied as the busiest periods at 30% each of total sales.</t>
    </r>
  </si>
  <si>
    <r>
      <t>12-16 (Afternoon)</t>
    </r>
    <r>
      <rPr>
        <sz val="11"/>
        <color theme="1"/>
        <rFont val="Calibri"/>
        <family val="2"/>
        <scheme val="minor"/>
      </rPr>
      <t xml:space="preserve"> holds 27%, while 20-24 (Night) sees a sharp drop to 14%.</t>
    </r>
  </si>
  <si>
    <r>
      <t xml:space="preserve">Cappuccino demand surges in the evening (16-20) </t>
    </r>
    <r>
      <rPr>
        <sz val="11"/>
        <color theme="1"/>
        <rFont val="Calibri"/>
        <family val="2"/>
        <scheme val="minor"/>
      </rPr>
      <t>with its highest volume (2847.04 units).</t>
    </r>
  </si>
  <si>
    <r>
      <t>Latte and Americano with Milk</t>
    </r>
    <r>
      <rPr>
        <sz val="11"/>
        <color theme="1"/>
        <rFont val="Calibri"/>
        <family val="2"/>
        <scheme val="minor"/>
      </rPr>
      <t xml:space="preserve"> perform consistently well across all periods, peaking in the morning</t>
    </r>
  </si>
  <si>
    <t>Take it forward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</si>
</sst>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4" fontId="0" fillId="0" borderId="0" xfId="0" applyNumberFormat="1"/>
    <xf numFmtId="47" fontId="0" fillId="0" borderId="0" xfId="0" applyNumberFormat="1"/>
    <xf numFmtId="0" fontId="16" fillId="33" borderId="10" xfId="0" applyFont="1" applyFill="1" applyBorder="1"/>
    <xf numFmtId="14" fontId="0" fillId="0" borderId="10" xfId="0" applyNumberFormat="1" applyBorder="1"/>
    <xf numFmtId="47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34" borderId="20" xfId="0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0" fontId="0" fillId="0" borderId="0" xfId="0" applyNumberFormat="1"/>
    <xf numFmtId="0" fontId="0" fillId="33" borderId="0" xfId="0" applyFill="1"/>
    <xf numFmtId="0" fontId="0" fillId="35" borderId="0" xfId="0" applyFill="1"/>
    <xf numFmtId="2" fontId="0" fillId="0" borderId="0" xfId="0" applyNumberFormat="1"/>
    <xf numFmtId="2" fontId="16" fillId="34" borderId="21" xfId="0" applyNumberFormat="1" applyFont="1" applyFill="1" applyBorder="1"/>
    <xf numFmtId="9" fontId="0" fillId="0" borderId="0" xfId="42" applyFont="1"/>
    <xf numFmtId="164" fontId="0" fillId="0" borderId="0" xfId="42" applyNumberFormat="1" applyFont="1"/>
    <xf numFmtId="165" fontId="0" fillId="0" borderId="10" xfId="0" applyNumberFormat="1" applyBorder="1"/>
    <xf numFmtId="2" fontId="0" fillId="0" borderId="10" xfId="0" applyNumberFormat="1" applyBorder="1"/>
    <xf numFmtId="9" fontId="0" fillId="0" borderId="10" xfId="42" applyFont="1" applyBorder="1"/>
    <xf numFmtId="0" fontId="0" fillId="36" borderId="10" xfId="0" applyFill="1" applyBorder="1"/>
    <xf numFmtId="0" fontId="0" fillId="38" borderId="10" xfId="0" applyFill="1" applyBorder="1" applyAlignment="1">
      <alignment horizontal="left"/>
    </xf>
    <xf numFmtId="1" fontId="0" fillId="0" borderId="10" xfId="0" applyNumberFormat="1" applyBorder="1"/>
    <xf numFmtId="0" fontId="18" fillId="40" borderId="0" xfId="0" applyFont="1" applyFill="1"/>
    <xf numFmtId="0" fontId="16" fillId="40" borderId="0" xfId="0" applyFont="1" applyFill="1"/>
    <xf numFmtId="0" fontId="0" fillId="39" borderId="10" xfId="0" applyFill="1" applyBorder="1"/>
    <xf numFmtId="0" fontId="0" fillId="41" borderId="10" xfId="0" applyFill="1" applyBorder="1"/>
    <xf numFmtId="0" fontId="0" fillId="42" borderId="10" xfId="0" applyFill="1" applyBorder="1"/>
    <xf numFmtId="0" fontId="0" fillId="43" borderId="10" xfId="0" applyFill="1" applyBorder="1"/>
    <xf numFmtId="0" fontId="16" fillId="36" borderId="10" xfId="0" applyFont="1" applyFill="1" applyBorder="1"/>
    <xf numFmtId="0" fontId="16" fillId="0" borderId="10" xfId="0" applyFont="1" applyBorder="1"/>
    <xf numFmtId="0" fontId="0" fillId="0" borderId="10" xfId="42" applyNumberFormat="1" applyFont="1" applyBorder="1"/>
    <xf numFmtId="9" fontId="0" fillId="0" borderId="0" xfId="0" applyNumberFormat="1"/>
    <xf numFmtId="2" fontId="16" fillId="0" borderId="20" xfId="0" applyNumberFormat="1" applyFont="1" applyBorder="1"/>
    <xf numFmtId="0" fontId="0" fillId="37" borderId="30" xfId="0" applyFill="1" applyBorder="1" applyAlignment="1">
      <alignment horizontal="center" vertical="center" textRotation="90"/>
    </xf>
    <xf numFmtId="0" fontId="0" fillId="39" borderId="31" xfId="0" applyFill="1" applyBorder="1" applyAlignment="1">
      <alignment horizontal="center"/>
    </xf>
    <xf numFmtId="0" fontId="0" fillId="39" borderId="10" xfId="0" applyFill="1" applyBorder="1" applyAlignment="1">
      <alignment horizontal="center" vertical="center" textRotation="90"/>
    </xf>
    <xf numFmtId="0" fontId="0" fillId="37" borderId="10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'EDA Analysis 2'!$AQ$4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>
              <a:solidFill>
                <a:schemeClr val="accent1">
                  <a:alpha val="93000"/>
                </a:schemeClr>
              </a:solidFill>
              <a:prstDash val="solid"/>
            </a:ln>
            <a:effectLst/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AEFB-44FD-9845-752462661FB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FB-44FD-9845-752462661FB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FB-44FD-9845-752462661FB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FB-44FD-9845-752462661FB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FB-44FD-9845-752462661FB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AEFB-44FD-9845-752462661FB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AEFB-44FD-9845-752462661FB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AEFB-44FD-9845-752462661F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Analysis 2'!$AK$5:$AK$12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Cortado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'EDA Analysis 2'!$AQ$5:$AQ$12</c:f>
              <c:numCache>
                <c:formatCode>0.00</c:formatCode>
                <c:ptCount val="8"/>
                <c:pt idx="0">
                  <c:v>9009.1399999999976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4644.5400000000163</c:v>
                </c:pt>
                <c:pt idx="4">
                  <c:v>2778.4800000000009</c:v>
                </c:pt>
                <c:pt idx="5">
                  <c:v>2745.0800000000027</c:v>
                </c:pt>
                <c:pt idx="6">
                  <c:v>1295.9399999999998</c:v>
                </c:pt>
                <c:pt idx="7">
                  <c:v>1100.6199999999992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EFB-44FD-9845-752462661FB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16863867952335"/>
          <c:y val="0.17552401020294997"/>
          <c:w val="0.25345740873299927"/>
          <c:h val="0.72867509519056595"/>
        </c:manualLayout>
      </c:layout>
      <c:overlay val="0"/>
      <c:spPr>
        <a:noFill/>
        <a:ln>
          <a:noFill/>
        </a:ln>
        <a:effectLst>
          <a:outerShdw blurRad="50800" dist="38100" algn="l" rotWithShape="0">
            <a:schemeClr val="bg1">
              <a:alpha val="40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Total Units Sold (Mar–Jul)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 2'!$AR$4</c:f>
              <c:strCache>
                <c:ptCount val="1"/>
                <c:pt idx="0">
                  <c:v>No.of Purchases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Analysis 2'!$AK$5:$AK$12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Cortado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'EDA Analysis 2'!$AR$5:$AR$12</c:f>
              <c:numCache>
                <c:formatCode>0</c:formatCode>
                <c:ptCount val="8"/>
                <c:pt idx="0">
                  <c:v>243</c:v>
                </c:pt>
                <c:pt idx="1">
                  <c:v>268</c:v>
                </c:pt>
                <c:pt idx="2">
                  <c:v>196</c:v>
                </c:pt>
                <c:pt idx="3">
                  <c:v>169</c:v>
                </c:pt>
                <c:pt idx="4">
                  <c:v>74</c:v>
                </c:pt>
                <c:pt idx="5">
                  <c:v>99</c:v>
                </c:pt>
                <c:pt idx="6">
                  <c:v>35</c:v>
                </c:pt>
                <c:pt idx="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0-4B7D-A124-FF3168317F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6949744"/>
        <c:axId val="1346950224"/>
      </c:barChart>
      <c:catAx>
        <c:axId val="13469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50224"/>
        <c:crosses val="autoZero"/>
        <c:auto val="1"/>
        <c:lblAlgn val="ctr"/>
        <c:lblOffset val="100"/>
        <c:noMultiLvlLbl val="0"/>
      </c:catAx>
      <c:valAx>
        <c:axId val="13469502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Coffee Price Stability and Volatility Analysis by Product Type</a:t>
            </a:r>
            <a:r>
              <a:rPr lang="en-IN" sz="11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IN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Analysis 2'!$Y$20</c:f>
              <c:strCache>
                <c:ptCount val="1"/>
                <c:pt idx="0">
                  <c:v>Hot Chocolate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2'!$Z$20:$AD$20</c:f>
              <c:numCache>
                <c:formatCode>0%</c:formatCode>
                <c:ptCount val="5"/>
                <c:pt idx="0">
                  <c:v>3.3855005091076446E-2</c:v>
                </c:pt>
                <c:pt idx="1">
                  <c:v>3.6689678695379278E-2</c:v>
                </c:pt>
                <c:pt idx="2">
                  <c:v>7.0418769563623642E-3</c:v>
                </c:pt>
                <c:pt idx="3">
                  <c:v>4.6068353920128502E-3</c:v>
                </c:pt>
                <c:pt idx="4">
                  <c:v>-0.12589617344735285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C-4614-99B2-F9AE3CAAE005}"/>
            </c:ext>
          </c:extLst>
        </c:ser>
        <c:ser>
          <c:idx val="1"/>
          <c:order val="1"/>
          <c:tx>
            <c:strRef>
              <c:f>'EDA Analysis 2'!$Y$21</c:f>
              <c:strCache>
                <c:ptCount val="1"/>
                <c:pt idx="0">
                  <c:v>Cappuccino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2'!$Z$21:$AD$21</c:f>
              <c:numCache>
                <c:formatCode>0%</c:formatCode>
                <c:ptCount val="5"/>
                <c:pt idx="0">
                  <c:v>4.3059317018358086E-2</c:v>
                </c:pt>
                <c:pt idx="1">
                  <c:v>3.1476157521532093E-2</c:v>
                </c:pt>
                <c:pt idx="2">
                  <c:v>1.0045405329281602E-2</c:v>
                </c:pt>
                <c:pt idx="3">
                  <c:v>8.1793065453550865E-3</c:v>
                </c:pt>
                <c:pt idx="4">
                  <c:v>-9.8231453374679256E-2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C-4614-99B2-F9AE3CAAE005}"/>
            </c:ext>
          </c:extLst>
        </c:ser>
        <c:ser>
          <c:idx val="2"/>
          <c:order val="2"/>
          <c:tx>
            <c:strRef>
              <c:f>'EDA Analysis 2'!$Y$22</c:f>
              <c:strCache>
                <c:ptCount val="1"/>
                <c:pt idx="0">
                  <c:v>Latte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2'!$Z$22:$AD$22</c:f>
              <c:numCache>
                <c:formatCode>0%</c:formatCode>
                <c:ptCount val="5"/>
                <c:pt idx="0">
                  <c:v>5.3336528236880308E-2</c:v>
                </c:pt>
                <c:pt idx="1">
                  <c:v>3.8114769037065184E-2</c:v>
                </c:pt>
                <c:pt idx="2">
                  <c:v>2.2168827320423537E-2</c:v>
                </c:pt>
                <c:pt idx="3">
                  <c:v>1.7406766905609966E-2</c:v>
                </c:pt>
                <c:pt idx="4">
                  <c:v>-0.1053185986675757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C-4614-99B2-F9AE3CAAE005}"/>
            </c:ext>
          </c:extLst>
        </c:ser>
        <c:ser>
          <c:idx val="3"/>
          <c:order val="3"/>
          <c:tx>
            <c:strRef>
              <c:f>'EDA Analysis 2'!$Y$23</c:f>
              <c:strCache>
                <c:ptCount val="1"/>
                <c:pt idx="0">
                  <c:v>Cocoa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2'!$Z$23:$AD$23</c:f>
              <c:numCache>
                <c:formatCode>0%</c:formatCode>
                <c:ptCount val="5"/>
                <c:pt idx="0">
                  <c:v>4.5187277188758729E-2</c:v>
                </c:pt>
                <c:pt idx="1">
                  <c:v>4.7978044251019987E-2</c:v>
                </c:pt>
                <c:pt idx="2">
                  <c:v>2.256105821085691E-2</c:v>
                </c:pt>
                <c:pt idx="3">
                  <c:v>2.5633902804142246E-2</c:v>
                </c:pt>
                <c:pt idx="4">
                  <c:v>-9.8912329617454761E-2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BC-4614-99B2-F9AE3CAAE005}"/>
            </c:ext>
          </c:extLst>
        </c:ser>
        <c:ser>
          <c:idx val="4"/>
          <c:order val="4"/>
          <c:tx>
            <c:strRef>
              <c:f>'EDA Analysis 2'!$Y$24</c:f>
              <c:strCache>
                <c:ptCount val="1"/>
                <c:pt idx="0">
                  <c:v>Americano with Milk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2'!$Z$24:$AD$24</c:f>
              <c:numCache>
                <c:formatCode>0%</c:formatCode>
                <c:ptCount val="5"/>
                <c:pt idx="0">
                  <c:v>5.7463234353838405E-2</c:v>
                </c:pt>
                <c:pt idx="1">
                  <c:v>4.4266979862904628E-2</c:v>
                </c:pt>
                <c:pt idx="2">
                  <c:v>2.5067560942348178E-2</c:v>
                </c:pt>
                <c:pt idx="3">
                  <c:v>2.4130552551796934E-2</c:v>
                </c:pt>
                <c:pt idx="4">
                  <c:v>-0.10664445820003536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BC-4614-99B2-F9AE3CAAE005}"/>
            </c:ext>
          </c:extLst>
        </c:ser>
        <c:ser>
          <c:idx val="5"/>
          <c:order val="5"/>
          <c:tx>
            <c:strRef>
              <c:f>'EDA Analysis 2'!$Y$25</c:f>
              <c:strCache>
                <c:ptCount val="1"/>
                <c:pt idx="0">
                  <c:v>Cortado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2'!$Z$25:$AD$25</c:f>
              <c:numCache>
                <c:formatCode>0%</c:formatCode>
                <c:ptCount val="5"/>
                <c:pt idx="0">
                  <c:v>4.4909437976305103E-2</c:v>
                </c:pt>
                <c:pt idx="1">
                  <c:v>4.1087863990924595E-2</c:v>
                </c:pt>
                <c:pt idx="2">
                  <c:v>6.9214740554003566E-3</c:v>
                </c:pt>
                <c:pt idx="3">
                  <c:v>6.9214740554003566E-3</c:v>
                </c:pt>
                <c:pt idx="4">
                  <c:v>-0.16979468722223104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BC-4614-99B2-F9AE3CAAE005}"/>
            </c:ext>
          </c:extLst>
        </c:ser>
        <c:ser>
          <c:idx val="6"/>
          <c:order val="6"/>
          <c:tx>
            <c:strRef>
              <c:f>'EDA Analysis 2'!$Y$26</c:f>
              <c:strCache>
                <c:ptCount val="1"/>
                <c:pt idx="0">
                  <c:v>Americano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2'!$Z$26:$AD$26</c:f>
              <c:numCache>
                <c:formatCode>0%</c:formatCode>
                <c:ptCount val="5"/>
                <c:pt idx="0">
                  <c:v>5.60261200367606E-2</c:v>
                </c:pt>
                <c:pt idx="1">
                  <c:v>4.1640045546563691E-2</c:v>
                </c:pt>
                <c:pt idx="2">
                  <c:v>2.2469394170355799E-2</c:v>
                </c:pt>
                <c:pt idx="3">
                  <c:v>1.5919768157876921E-2</c:v>
                </c:pt>
                <c:pt idx="4">
                  <c:v>-0.13265971082891925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BC-4614-99B2-F9AE3CAAE005}"/>
            </c:ext>
          </c:extLst>
        </c:ser>
        <c:ser>
          <c:idx val="7"/>
          <c:order val="7"/>
          <c:tx>
            <c:strRef>
              <c:f>'EDA Analysis 2'!$Y$27</c:f>
              <c:strCache>
                <c:ptCount val="1"/>
                <c:pt idx="0">
                  <c:v>Espresso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2'!$Z$27:$AD$27</c:f>
              <c:numCache>
                <c:formatCode>0%</c:formatCode>
                <c:ptCount val="5"/>
                <c:pt idx="0">
                  <c:v>7.2940706147444995E-2</c:v>
                </c:pt>
                <c:pt idx="1">
                  <c:v>8.7568824844179438E-2</c:v>
                </c:pt>
                <c:pt idx="2">
                  <c:v>3.0312460249678271E-2</c:v>
                </c:pt>
                <c:pt idx="3">
                  <c:v>2.485871599643924E-2</c:v>
                </c:pt>
                <c:pt idx="4">
                  <c:v>-0.13096254838182039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BC-4614-99B2-F9AE3CAA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84928"/>
        <c:axId val="319169552"/>
      </c:lineChart>
      <c:catAx>
        <c:axId val="4162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69552"/>
        <c:crosses val="autoZero"/>
        <c:auto val="1"/>
        <c:lblAlgn val="ctr"/>
        <c:lblOffset val="100"/>
        <c:noMultiLvlLbl val="0"/>
      </c:catAx>
      <c:valAx>
        <c:axId val="3191695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8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analysis.xlsx]EDA Analysis 1!PivotTable10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Methods of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 1'!$P$3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Analysis 1'!$O$4:$O$6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'EDA Analysis 1'!$P$4:$P$6</c:f>
              <c:numCache>
                <c:formatCode>General</c:formatCode>
                <c:ptCount val="2"/>
                <c:pt idx="0">
                  <c:v>1044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7-452B-8D6D-6F8CE09BB5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6286848"/>
        <c:axId val="416285888"/>
      </c:barChart>
      <c:catAx>
        <c:axId val="4162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85888"/>
        <c:crosses val="autoZero"/>
        <c:auto val="1"/>
        <c:lblAlgn val="ctr"/>
        <c:lblOffset val="100"/>
        <c:noMultiLvlLbl val="0"/>
      </c:catAx>
      <c:valAx>
        <c:axId val="41628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60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Coffee sales distribution by Time Period</a:t>
            </a:r>
          </a:p>
        </c:rich>
      </c:tx>
      <c:layout>
        <c:manualLayout>
          <c:xMode val="edge"/>
          <c:yMode val="edge"/>
          <c:x val="0.11638869670236666"/>
          <c:y val="8.104125893447973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055333542706095E-2"/>
          <c:y val="0.13422764227642278"/>
          <c:w val="0.86728297017015099"/>
          <c:h val="0.556769946439621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'EDA Analysis 2'!$BB$18:$BB$19</c:f>
              <c:strCache>
                <c:ptCount val="2"/>
                <c:pt idx="0">
                  <c:v>Coffee</c:v>
                </c:pt>
                <c:pt idx="1">
                  <c:v>Latte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2'!$BB$20:$BB$23</c:f>
              <c:numCache>
                <c:formatCode>0%</c:formatCode>
                <c:ptCount val="4"/>
                <c:pt idx="0">
                  <c:v>0.30075456196488798</c:v>
                </c:pt>
                <c:pt idx="1">
                  <c:v>0.19148940423031258</c:v>
                </c:pt>
                <c:pt idx="2">
                  <c:v>0.23197789538107078</c:v>
                </c:pt>
                <c:pt idx="3">
                  <c:v>0.22244941153349007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C-4FD3-B7C1-4CED03DE6FFF}"/>
            </c:ext>
          </c:extLst>
        </c:ser>
        <c:ser>
          <c:idx val="1"/>
          <c:order val="1"/>
          <c:tx>
            <c:strRef>
              <c:f>'EDA Analysis 2'!$BC$18:$BC$19</c:f>
              <c:strCache>
                <c:ptCount val="2"/>
                <c:pt idx="0">
                  <c:v>Coffee</c:v>
                </c:pt>
                <c:pt idx="1">
                  <c:v>Americano with Milk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2'!$BC$20:$BC$23</c:f>
              <c:numCache>
                <c:formatCode>0%</c:formatCode>
                <c:ptCount val="4"/>
                <c:pt idx="0">
                  <c:v>0.23402051082475728</c:v>
                </c:pt>
                <c:pt idx="1">
                  <c:v>0.25000699588641878</c:v>
                </c:pt>
                <c:pt idx="2">
                  <c:v>0.18509198257551202</c:v>
                </c:pt>
                <c:pt idx="3">
                  <c:v>0.2732835448587605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C-4FD3-B7C1-4CED03DE6FFF}"/>
            </c:ext>
          </c:extLst>
        </c:ser>
        <c:ser>
          <c:idx val="2"/>
          <c:order val="2"/>
          <c:tx>
            <c:strRef>
              <c:f>'EDA Analysis 2'!$BD$18:$BD$19</c:f>
              <c:strCache>
                <c:ptCount val="2"/>
                <c:pt idx="0">
                  <c:v>Coffee</c:v>
                </c:pt>
                <c:pt idx="1">
                  <c:v>Cappuccino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2'!$BD$20:$BD$23</c:f>
              <c:numCache>
                <c:formatCode>0%</c:formatCode>
                <c:ptCount val="4"/>
                <c:pt idx="0">
                  <c:v>0.1356373778431203</c:v>
                </c:pt>
                <c:pt idx="1">
                  <c:v>0.17468128740300712</c:v>
                </c:pt>
                <c:pt idx="2">
                  <c:v>0.25624077474169271</c:v>
                </c:pt>
                <c:pt idx="3">
                  <c:v>0.23293371531373538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C-4FD3-B7C1-4CED03DE6FFF}"/>
            </c:ext>
          </c:extLst>
        </c:ser>
        <c:ser>
          <c:idx val="3"/>
          <c:order val="3"/>
          <c:tx>
            <c:strRef>
              <c:f>'EDA Analysis 2'!$BE$18:$BE$19</c:f>
              <c:strCache>
                <c:ptCount val="2"/>
                <c:pt idx="0">
                  <c:v>Coffee</c:v>
                </c:pt>
                <c:pt idx="1">
                  <c:v>Americano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2'!$BE$20:$BE$23</c:f>
              <c:numCache>
                <c:formatCode>0%</c:formatCode>
                <c:ptCount val="4"/>
                <c:pt idx="0">
                  <c:v>0.15414648735910516</c:v>
                </c:pt>
                <c:pt idx="1">
                  <c:v>0.17291832402547311</c:v>
                </c:pt>
                <c:pt idx="2">
                  <c:v>8.3299132375706464E-2</c:v>
                </c:pt>
                <c:pt idx="3">
                  <c:v>5.2481990732691823E-2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BC-4FD3-B7C1-4CED03DE6FFF}"/>
            </c:ext>
          </c:extLst>
        </c:ser>
        <c:ser>
          <c:idx val="4"/>
          <c:order val="4"/>
          <c:tx>
            <c:strRef>
              <c:f>'EDA Analysis 2'!$BF$18:$BF$19</c:f>
              <c:strCache>
                <c:ptCount val="2"/>
                <c:pt idx="0">
                  <c:v>Coffee</c:v>
                </c:pt>
                <c:pt idx="1">
                  <c:v>Hot Chocolate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2'!$BF$20:$BF$23</c:f>
              <c:numCache>
                <c:formatCode>0%</c:formatCode>
                <c:ptCount val="4"/>
                <c:pt idx="0">
                  <c:v>4.9851898296289915E-2</c:v>
                </c:pt>
                <c:pt idx="1">
                  <c:v>5.7394252179718337E-2</c:v>
                </c:pt>
                <c:pt idx="2">
                  <c:v>0.10313928790006122</c:v>
                </c:pt>
                <c:pt idx="3">
                  <c:v>9.5405652604446139E-2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BC-4FD3-B7C1-4CED03DE6FFF}"/>
            </c:ext>
          </c:extLst>
        </c:ser>
        <c:ser>
          <c:idx val="5"/>
          <c:order val="5"/>
          <c:tx>
            <c:strRef>
              <c:f>'EDA Analysis 2'!$BG$18:$BG$19</c:f>
              <c:strCache>
                <c:ptCount val="2"/>
                <c:pt idx="0">
                  <c:v>Coffee</c:v>
                </c:pt>
                <c:pt idx="1">
                  <c:v>Cortado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2'!$BG$20:$BG$23</c:f>
              <c:numCache>
                <c:formatCode>0%</c:formatCode>
                <c:ptCount val="4"/>
                <c:pt idx="0">
                  <c:v>8.1522600824468813E-2</c:v>
                </c:pt>
                <c:pt idx="1">
                  <c:v>7.9831059337109739E-2</c:v>
                </c:pt>
                <c:pt idx="2">
                  <c:v>7.0360370090362487E-2</c:v>
                </c:pt>
                <c:pt idx="3">
                  <c:v>4.9057773275985879E-2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C-4FD3-B7C1-4CED03DE6FFF}"/>
            </c:ext>
          </c:extLst>
        </c:ser>
        <c:ser>
          <c:idx val="6"/>
          <c:order val="6"/>
          <c:tx>
            <c:strRef>
              <c:f>'EDA Analysis 2'!$BH$18:$BH$19</c:f>
              <c:strCache>
                <c:ptCount val="2"/>
                <c:pt idx="0">
                  <c:v>Coffee</c:v>
                </c:pt>
                <c:pt idx="1">
                  <c:v>Cocoa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2'!$BH$20:$BH$23</c:f>
              <c:numCache>
                <c:formatCode>0%</c:formatCode>
                <c:ptCount val="4"/>
                <c:pt idx="0">
                  <c:v>2.3107108881778086E-2</c:v>
                </c:pt>
                <c:pt idx="1">
                  <c:v>3.2654798978200825E-2</c:v>
                </c:pt>
                <c:pt idx="2">
                  <c:v>3.8193469417143674E-2</c:v>
                </c:pt>
                <c:pt idx="3">
                  <c:v>5.4488899639436678E-2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C-4FD3-B7C1-4CED03DE6FFF}"/>
            </c:ext>
          </c:extLst>
        </c:ser>
        <c:ser>
          <c:idx val="7"/>
          <c:order val="7"/>
          <c:tx>
            <c:strRef>
              <c:f>'EDA Analysis 2'!$BI$18:$BI$19</c:f>
              <c:strCache>
                <c:ptCount val="2"/>
                <c:pt idx="0">
                  <c:v>Coffee</c:v>
                </c:pt>
                <c:pt idx="1">
                  <c:v>Espresso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2'!$BI$20:$BI$23</c:f>
              <c:numCache>
                <c:formatCode>0%</c:formatCode>
                <c:ptCount val="4"/>
                <c:pt idx="0">
                  <c:v>2.0959454005592553E-2</c:v>
                </c:pt>
                <c:pt idx="1">
                  <c:v>4.1023877959759661E-2</c:v>
                </c:pt>
                <c:pt idx="2">
                  <c:v>3.169708751845051E-2</c:v>
                </c:pt>
                <c:pt idx="3">
                  <c:v>1.9899012041453435E-2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BC-4FD3-B7C1-4CED03DE6F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20403184"/>
        <c:axId val="1220409904"/>
      </c:barChart>
      <c:catAx>
        <c:axId val="12204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09904"/>
        <c:crosses val="autoZero"/>
        <c:auto val="1"/>
        <c:lblAlgn val="ctr"/>
        <c:lblOffset val="100"/>
        <c:noMultiLvlLbl val="0"/>
      </c:catAx>
      <c:valAx>
        <c:axId val="1220409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0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5307419187463"/>
          <c:y val="0.80182830804686001"/>
          <c:w val="0.76759869600452302"/>
          <c:h val="0.13250615920482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analysis.xlsx]EDA Analysis 1!PivotTable8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4.1800643086816663E-2"/>
              <c:y val="-8.03782505910165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1.2861736334405145E-2"/>
              <c:y val="-6.14657210401891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5.1446945337620578E-2"/>
              <c:y val="2.8368794326241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5.7877813504823156E-2"/>
              <c:y val="-1.8912529550827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5.7877813504823163E-2"/>
              <c:y val="-4.7281323877068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2.2508038585209032E-2"/>
              <c:y val="4.25531914893617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3.215434083601286E-2"/>
              <c:y val="5.67375886524821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4.5016077170417945E-2"/>
              <c:y val="-4.72813238770685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0797227036395149E-2"/>
              <c:y val="-5.20094562647754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'EDA Analysis 1'!$B$3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D9-44A7-961E-30206297E5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D9-44A7-961E-30206297E55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D9-44A7-961E-30206297E5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D9-44A7-961E-30206297E55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D9-44A7-961E-30206297E55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D9-44A7-961E-30206297E55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4D9-44A7-961E-30206297E55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4D9-44A7-961E-30206297E5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Analysis 1'!$A$4:$A$12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Cortado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'EDA Analysis 1'!$B$4:$B$12</c:f>
              <c:numCache>
                <c:formatCode>General</c:formatCode>
                <c:ptCount val="8"/>
                <c:pt idx="0">
                  <c:v>9009.1399999999976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4644.5400000000163</c:v>
                </c:pt>
                <c:pt idx="4">
                  <c:v>2778.4800000000009</c:v>
                </c:pt>
                <c:pt idx="5">
                  <c:v>2745.0800000000027</c:v>
                </c:pt>
                <c:pt idx="6">
                  <c:v>1295.9399999999998</c:v>
                </c:pt>
                <c:pt idx="7">
                  <c:v>1100.6199999999992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C-4C23-9A35-7AC698D66844}"/>
            </c:ext>
          </c:extLst>
        </c:ser>
        <c:ser>
          <c:idx val="1"/>
          <c:order val="1"/>
          <c:tx>
            <c:strRef>
              <c:f>'EDA Analysis 1'!$C$3</c:f>
              <c:strCache>
                <c:ptCount val="1"/>
                <c:pt idx="0">
                  <c:v>%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90C-4C23-9A35-7AC698D668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0C-4C23-9A35-7AC698D668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90C-4C23-9A35-7AC698D668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0C-4C23-9A35-7AC698D668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90C-4C23-9A35-7AC698D668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0C-4C23-9A35-7AC698D6684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90C-4C23-9A35-7AC698D6684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0C-4C23-9A35-7AC698D66844}"/>
              </c:ext>
            </c:extLst>
          </c:dPt>
          <c:dLbls>
            <c:dLbl>
              <c:idx val="7"/>
              <c:layout>
                <c:manualLayout>
                  <c:x val="2.0797227036395149E-2"/>
                  <c:y val="-5.20094562647754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0C-4C23-9A35-7AC698D66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Analysis 1'!$A$4:$A$12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Cortado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'EDA Analysis 1'!$C$4:$C$12</c:f>
              <c:numCache>
                <c:formatCode>0.00%</c:formatCode>
                <c:ptCount val="8"/>
                <c:pt idx="0">
                  <c:v>0.24018685708557541</c:v>
                </c:pt>
                <c:pt idx="1">
                  <c:v>0.22933076114242779</c:v>
                </c:pt>
                <c:pt idx="2">
                  <c:v>0.19550410462802409</c:v>
                </c:pt>
                <c:pt idx="3">
                  <c:v>0.12382507822147761</c:v>
                </c:pt>
                <c:pt idx="4">
                  <c:v>7.4075258978673883E-2</c:v>
                </c:pt>
                <c:pt idx="5">
                  <c:v>7.3184803171942286E-2</c:v>
                </c:pt>
                <c:pt idx="6">
                  <c:v>3.4550218508257242E-2</c:v>
                </c:pt>
                <c:pt idx="7">
                  <c:v>2.9342918263621821E-2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C-4C23-9A35-7AC698D668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analysis.xlsx]EDA Analysis 1!PivotTable9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Over Coffee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Analysis 1'!$J$3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Analysis 1'!$I$4:$I$9</c:f>
              <c:strCache>
                <c:ptCount val="5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</c:strCache>
            </c:strRef>
          </c:cat>
          <c:val>
            <c:numRef>
              <c:f>'EDA Analysis 1'!$J$4:$J$9</c:f>
              <c:numCache>
                <c:formatCode>General</c:formatCode>
                <c:ptCount val="5"/>
                <c:pt idx="0">
                  <c:v>206</c:v>
                </c:pt>
                <c:pt idx="1">
                  <c:v>196</c:v>
                </c:pt>
                <c:pt idx="2">
                  <c:v>267</c:v>
                </c:pt>
                <c:pt idx="3">
                  <c:v>227</c:v>
                </c:pt>
                <c:pt idx="4">
                  <c:v>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B-4573-B2C7-13904D68BF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8273296"/>
        <c:axId val="412998944"/>
      </c:lineChart>
      <c:catAx>
        <c:axId val="10382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998944"/>
        <c:crosses val="autoZero"/>
        <c:auto val="1"/>
        <c:lblAlgn val="ctr"/>
        <c:lblOffset val="100"/>
        <c:noMultiLvlLbl val="0"/>
      </c:catAx>
      <c:valAx>
        <c:axId val="41299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7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analysis.xlsx]EDA Analysis 1!PivotTable10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Methods of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 1'!$P$3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Analysis 1'!$O$4:$O$6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'EDA Analysis 1'!$P$4:$P$6</c:f>
              <c:numCache>
                <c:formatCode>General</c:formatCode>
                <c:ptCount val="2"/>
                <c:pt idx="0">
                  <c:v>1044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0-41D0-8CFE-CF1B57E94A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6286848"/>
        <c:axId val="416285888"/>
      </c:barChart>
      <c:catAx>
        <c:axId val="4162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85888"/>
        <c:crosses val="autoZero"/>
        <c:auto val="1"/>
        <c:lblAlgn val="ctr"/>
        <c:lblOffset val="100"/>
        <c:noMultiLvlLbl val="0"/>
      </c:catAx>
      <c:valAx>
        <c:axId val="41628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Coffee Price Stability and Volatility Analysis by Product Type</a:t>
            </a:r>
            <a:r>
              <a:rPr lang="en-IN" sz="11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IN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Analysis 2'!$Y$20</c:f>
              <c:strCache>
                <c:ptCount val="1"/>
                <c:pt idx="0">
                  <c:v>Hot Chocolate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2'!$Z$20:$AD$20</c:f>
              <c:numCache>
                <c:formatCode>0%</c:formatCode>
                <c:ptCount val="5"/>
                <c:pt idx="0">
                  <c:v>3.3855005091076446E-2</c:v>
                </c:pt>
                <c:pt idx="1">
                  <c:v>3.6689678695379278E-2</c:v>
                </c:pt>
                <c:pt idx="2">
                  <c:v>7.0418769563623642E-3</c:v>
                </c:pt>
                <c:pt idx="3">
                  <c:v>4.6068353920128502E-3</c:v>
                </c:pt>
                <c:pt idx="4">
                  <c:v>-0.12589617344735285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9-4472-8841-A841775B3C74}"/>
            </c:ext>
          </c:extLst>
        </c:ser>
        <c:ser>
          <c:idx val="1"/>
          <c:order val="1"/>
          <c:tx>
            <c:strRef>
              <c:f>'EDA Analysis 2'!$Y$21</c:f>
              <c:strCache>
                <c:ptCount val="1"/>
                <c:pt idx="0">
                  <c:v>Cappuccino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2'!$Z$21:$AD$21</c:f>
              <c:numCache>
                <c:formatCode>0%</c:formatCode>
                <c:ptCount val="5"/>
                <c:pt idx="0">
                  <c:v>4.3059317018358086E-2</c:v>
                </c:pt>
                <c:pt idx="1">
                  <c:v>3.1476157521532093E-2</c:v>
                </c:pt>
                <c:pt idx="2">
                  <c:v>1.0045405329281602E-2</c:v>
                </c:pt>
                <c:pt idx="3">
                  <c:v>8.1793065453550865E-3</c:v>
                </c:pt>
                <c:pt idx="4">
                  <c:v>-9.8231453374679256E-2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9-4472-8841-A841775B3C74}"/>
            </c:ext>
          </c:extLst>
        </c:ser>
        <c:ser>
          <c:idx val="2"/>
          <c:order val="2"/>
          <c:tx>
            <c:strRef>
              <c:f>'EDA Analysis 2'!$Y$22</c:f>
              <c:strCache>
                <c:ptCount val="1"/>
                <c:pt idx="0">
                  <c:v>Latte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2'!$Z$22:$AD$22</c:f>
              <c:numCache>
                <c:formatCode>0%</c:formatCode>
                <c:ptCount val="5"/>
                <c:pt idx="0">
                  <c:v>5.3336528236880308E-2</c:v>
                </c:pt>
                <c:pt idx="1">
                  <c:v>3.8114769037065184E-2</c:v>
                </c:pt>
                <c:pt idx="2">
                  <c:v>2.2168827320423537E-2</c:v>
                </c:pt>
                <c:pt idx="3">
                  <c:v>1.7406766905609966E-2</c:v>
                </c:pt>
                <c:pt idx="4">
                  <c:v>-0.1053185986675757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9-4472-8841-A841775B3C74}"/>
            </c:ext>
          </c:extLst>
        </c:ser>
        <c:ser>
          <c:idx val="3"/>
          <c:order val="3"/>
          <c:tx>
            <c:strRef>
              <c:f>'EDA Analysis 2'!$Y$23</c:f>
              <c:strCache>
                <c:ptCount val="1"/>
                <c:pt idx="0">
                  <c:v>Cocoa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2'!$Z$23:$AD$23</c:f>
              <c:numCache>
                <c:formatCode>0%</c:formatCode>
                <c:ptCount val="5"/>
                <c:pt idx="0">
                  <c:v>4.5187277188758729E-2</c:v>
                </c:pt>
                <c:pt idx="1">
                  <c:v>4.7978044251019987E-2</c:v>
                </c:pt>
                <c:pt idx="2">
                  <c:v>2.256105821085691E-2</c:v>
                </c:pt>
                <c:pt idx="3">
                  <c:v>2.5633902804142246E-2</c:v>
                </c:pt>
                <c:pt idx="4">
                  <c:v>-9.8912329617454761E-2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E9-4472-8841-A841775B3C74}"/>
            </c:ext>
          </c:extLst>
        </c:ser>
        <c:ser>
          <c:idx val="4"/>
          <c:order val="4"/>
          <c:tx>
            <c:strRef>
              <c:f>'EDA Analysis 2'!$Y$24</c:f>
              <c:strCache>
                <c:ptCount val="1"/>
                <c:pt idx="0">
                  <c:v>Americano with Milk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2'!$Z$24:$AD$24</c:f>
              <c:numCache>
                <c:formatCode>0%</c:formatCode>
                <c:ptCount val="5"/>
                <c:pt idx="0">
                  <c:v>5.7463234353838405E-2</c:v>
                </c:pt>
                <c:pt idx="1">
                  <c:v>4.4266979862904628E-2</c:v>
                </c:pt>
                <c:pt idx="2">
                  <c:v>2.5067560942348178E-2</c:v>
                </c:pt>
                <c:pt idx="3">
                  <c:v>2.4130552551796934E-2</c:v>
                </c:pt>
                <c:pt idx="4">
                  <c:v>-0.10664445820003536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E9-4472-8841-A841775B3C74}"/>
            </c:ext>
          </c:extLst>
        </c:ser>
        <c:ser>
          <c:idx val="5"/>
          <c:order val="5"/>
          <c:tx>
            <c:strRef>
              <c:f>'EDA Analysis 2'!$Y$25</c:f>
              <c:strCache>
                <c:ptCount val="1"/>
                <c:pt idx="0">
                  <c:v>Cortado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2'!$Z$25:$AD$25</c:f>
              <c:numCache>
                <c:formatCode>0%</c:formatCode>
                <c:ptCount val="5"/>
                <c:pt idx="0">
                  <c:v>4.4909437976305103E-2</c:v>
                </c:pt>
                <c:pt idx="1">
                  <c:v>4.1087863990924595E-2</c:v>
                </c:pt>
                <c:pt idx="2">
                  <c:v>6.9214740554003566E-3</c:v>
                </c:pt>
                <c:pt idx="3">
                  <c:v>6.9214740554003566E-3</c:v>
                </c:pt>
                <c:pt idx="4">
                  <c:v>-0.16979468722223104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E9-4472-8841-A841775B3C74}"/>
            </c:ext>
          </c:extLst>
        </c:ser>
        <c:ser>
          <c:idx val="6"/>
          <c:order val="6"/>
          <c:tx>
            <c:strRef>
              <c:f>'EDA Analysis 2'!$Y$26</c:f>
              <c:strCache>
                <c:ptCount val="1"/>
                <c:pt idx="0">
                  <c:v>Americano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2'!$Z$26:$AD$26</c:f>
              <c:numCache>
                <c:formatCode>0%</c:formatCode>
                <c:ptCount val="5"/>
                <c:pt idx="0">
                  <c:v>5.60261200367606E-2</c:v>
                </c:pt>
                <c:pt idx="1">
                  <c:v>4.1640045546563691E-2</c:v>
                </c:pt>
                <c:pt idx="2">
                  <c:v>2.2469394170355799E-2</c:v>
                </c:pt>
                <c:pt idx="3">
                  <c:v>1.5919768157876921E-2</c:v>
                </c:pt>
                <c:pt idx="4">
                  <c:v>-0.13265971082891925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E9-4472-8841-A841775B3C74}"/>
            </c:ext>
          </c:extLst>
        </c:ser>
        <c:ser>
          <c:idx val="7"/>
          <c:order val="7"/>
          <c:tx>
            <c:strRef>
              <c:f>'EDA Analysis 2'!$Y$27</c:f>
              <c:strCache>
                <c:ptCount val="1"/>
                <c:pt idx="0">
                  <c:v>Espresso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 Analysis 2'!$Z$19:$AD$19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2'!$Z$27:$AD$27</c:f>
              <c:numCache>
                <c:formatCode>0%</c:formatCode>
                <c:ptCount val="5"/>
                <c:pt idx="0">
                  <c:v>7.2940706147444995E-2</c:v>
                </c:pt>
                <c:pt idx="1">
                  <c:v>8.7568824844179438E-2</c:v>
                </c:pt>
                <c:pt idx="2">
                  <c:v>3.0312460249678271E-2</c:v>
                </c:pt>
                <c:pt idx="3">
                  <c:v>2.485871599643924E-2</c:v>
                </c:pt>
                <c:pt idx="4">
                  <c:v>-0.13096254838182039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E9-4472-8841-A841775B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84928"/>
        <c:axId val="319169552"/>
      </c:lineChart>
      <c:catAx>
        <c:axId val="4162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69552"/>
        <c:crosses val="autoZero"/>
        <c:auto val="1"/>
        <c:lblAlgn val="ctr"/>
        <c:lblOffset val="100"/>
        <c:noMultiLvlLbl val="0"/>
      </c:catAx>
      <c:valAx>
        <c:axId val="3191695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8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'EDA Analysis 2'!$AQ$4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>
              <a:solidFill>
                <a:schemeClr val="accent1">
                  <a:alpha val="93000"/>
                </a:schemeClr>
              </a:solidFill>
              <a:prstDash val="solid"/>
            </a:ln>
            <a:effectLst/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8F67-4988-B5DB-2720A96DCD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78-4BCF-ADBA-7567814AA9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78-4BCF-ADBA-7567814AA9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78-4BCF-ADBA-7567814AA9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78-4BCF-ADBA-7567814AA9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78-4BCF-ADBA-7567814AA9C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178-4BCF-ADBA-7567814AA9C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alpha val="93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78-4BCF-ADBA-7567814AA9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Analysis 2'!$AK$5:$AK$12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Cortado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'EDA Analysis 2'!$AQ$5:$AQ$12</c:f>
              <c:numCache>
                <c:formatCode>0.00</c:formatCode>
                <c:ptCount val="8"/>
                <c:pt idx="0">
                  <c:v>9009.1399999999976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4644.5400000000163</c:v>
                </c:pt>
                <c:pt idx="4">
                  <c:v>2778.4800000000009</c:v>
                </c:pt>
                <c:pt idx="5">
                  <c:v>2745.0800000000027</c:v>
                </c:pt>
                <c:pt idx="6">
                  <c:v>1295.9399999999998</c:v>
                </c:pt>
                <c:pt idx="7">
                  <c:v>1100.6199999999992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7-4988-B5DB-2720A96DCD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16863867952335"/>
          <c:y val="0.17552401020294997"/>
          <c:w val="0.25345740873299927"/>
          <c:h val="0.72867509519056595"/>
        </c:manualLayout>
      </c:layout>
      <c:overlay val="0"/>
      <c:spPr>
        <a:noFill/>
        <a:ln>
          <a:noFill/>
        </a:ln>
        <a:effectLst>
          <a:outerShdw blurRad="50800" dist="38100" algn="l" rotWithShape="0">
            <a:schemeClr val="bg1">
              <a:alpha val="40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Total Units Sold (Mar–Jul)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 2'!$AR$4</c:f>
              <c:strCache>
                <c:ptCount val="1"/>
                <c:pt idx="0">
                  <c:v>No.of Purchases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Analysis 2'!$AK$5:$AK$12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Cortado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'EDA Analysis 2'!$AR$5:$AR$12</c:f>
              <c:numCache>
                <c:formatCode>0</c:formatCode>
                <c:ptCount val="8"/>
                <c:pt idx="0">
                  <c:v>243</c:v>
                </c:pt>
                <c:pt idx="1">
                  <c:v>268</c:v>
                </c:pt>
                <c:pt idx="2">
                  <c:v>196</c:v>
                </c:pt>
                <c:pt idx="3">
                  <c:v>169</c:v>
                </c:pt>
                <c:pt idx="4">
                  <c:v>74</c:v>
                </c:pt>
                <c:pt idx="5">
                  <c:v>99</c:v>
                </c:pt>
                <c:pt idx="6">
                  <c:v>35</c:v>
                </c:pt>
                <c:pt idx="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8-459D-9055-17DF8B2323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6949744"/>
        <c:axId val="1346950224"/>
      </c:barChart>
      <c:catAx>
        <c:axId val="13469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50224"/>
        <c:crosses val="autoZero"/>
        <c:auto val="1"/>
        <c:lblAlgn val="ctr"/>
        <c:lblOffset val="100"/>
        <c:noMultiLvlLbl val="0"/>
      </c:catAx>
      <c:valAx>
        <c:axId val="13469502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Monthly Revenue Trend by Coffee Type</a:t>
            </a:r>
            <a:endParaRPr lang="en-IN"/>
          </a:p>
        </c:rich>
      </c:tx>
      <c:layout>
        <c:manualLayout>
          <c:xMode val="edge"/>
          <c:yMode val="edge"/>
          <c:x val="0.2352707786526684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355314960629921"/>
          <c:y val="0.19544145523476236"/>
          <c:w val="0.84589129483814518"/>
          <c:h val="0.46567767570720325"/>
        </c:manualLayout>
      </c:layout>
      <c:lineChart>
        <c:grouping val="standard"/>
        <c:varyColors val="0"/>
        <c:ser>
          <c:idx val="0"/>
          <c:order val="0"/>
          <c:tx>
            <c:strRef>
              <c:f>'EDA Analysis 2'!$AK$5</c:f>
              <c:strCache>
                <c:ptCount val="1"/>
                <c:pt idx="0">
                  <c:v>Latte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2'!$AL$5:$AP$5</c:f>
              <c:numCache>
                <c:formatCode>0.00</c:formatCode>
                <c:ptCount val="5"/>
                <c:pt idx="0">
                  <c:v>1874.5000000000011</c:v>
                </c:pt>
                <c:pt idx="1">
                  <c:v>1193.1200000000003</c:v>
                </c:pt>
                <c:pt idx="2">
                  <c:v>2198.0000000000005</c:v>
                </c:pt>
                <c:pt idx="3">
                  <c:v>1886.0000000000011</c:v>
                </c:pt>
                <c:pt idx="4">
                  <c:v>1857.5199999999991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6-414F-AB0F-14AC4322510D}"/>
            </c:ext>
          </c:extLst>
        </c:ser>
        <c:ser>
          <c:idx val="1"/>
          <c:order val="1"/>
          <c:tx>
            <c:strRef>
              <c:f>'EDA Analysis 2'!$AK$6</c:f>
              <c:strCache>
                <c:ptCount val="1"/>
                <c:pt idx="0">
                  <c:v>Americano with Milk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2'!$AL$6:$AP$6</c:f>
              <c:numCache>
                <c:formatCode>0.00</c:formatCode>
                <c:ptCount val="5"/>
                <c:pt idx="0">
                  <c:v>1153.9999999999993</c:v>
                </c:pt>
                <c:pt idx="1">
                  <c:v>1407.7399999999993</c:v>
                </c:pt>
                <c:pt idx="2">
                  <c:v>1908.2799999999991</c:v>
                </c:pt>
                <c:pt idx="3">
                  <c:v>2268.12</c:v>
                </c:pt>
                <c:pt idx="4">
                  <c:v>1863.8000000000015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6-414F-AB0F-14AC4322510D}"/>
            </c:ext>
          </c:extLst>
        </c:ser>
        <c:ser>
          <c:idx val="2"/>
          <c:order val="2"/>
          <c:tx>
            <c:strRef>
              <c:f>'EDA Analysis 2'!$AK$7</c:f>
              <c:strCache>
                <c:ptCount val="1"/>
                <c:pt idx="0">
                  <c:v>Cappuccino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2'!$AL$7:$AP$7</c:f>
              <c:numCache>
                <c:formatCode>0.00</c:formatCode>
                <c:ptCount val="5"/>
                <c:pt idx="0">
                  <c:v>780.50000000000011</c:v>
                </c:pt>
                <c:pt idx="1">
                  <c:v>1659.440000000001</c:v>
                </c:pt>
                <c:pt idx="2">
                  <c:v>2078.440000000001</c:v>
                </c:pt>
                <c:pt idx="3">
                  <c:v>1735.120000000001</c:v>
                </c:pt>
                <c:pt idx="4">
                  <c:v>1079.6400000000006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6-414F-AB0F-14AC4322510D}"/>
            </c:ext>
          </c:extLst>
        </c:ser>
        <c:ser>
          <c:idx val="3"/>
          <c:order val="3"/>
          <c:tx>
            <c:strRef>
              <c:f>'EDA Analysis 2'!$AK$8</c:f>
              <c:strCache>
                <c:ptCount val="1"/>
                <c:pt idx="0">
                  <c:v>Americano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2'!$AL$8:$AP$8</c:f>
              <c:numCache>
                <c:formatCode>0.00</c:formatCode>
                <c:ptCount val="5"/>
                <c:pt idx="0">
                  <c:v>1044.7999999999995</c:v>
                </c:pt>
                <c:pt idx="1">
                  <c:v>1001.9399999999993</c:v>
                </c:pt>
                <c:pt idx="2">
                  <c:v>1348.8000000000002</c:v>
                </c:pt>
                <c:pt idx="3">
                  <c:v>390.88000000000017</c:v>
                </c:pt>
                <c:pt idx="4">
                  <c:v>858.11999999999966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16-414F-AB0F-14AC4322510D}"/>
            </c:ext>
          </c:extLst>
        </c:ser>
        <c:ser>
          <c:idx val="4"/>
          <c:order val="4"/>
          <c:tx>
            <c:strRef>
              <c:f>'EDA Analysis 2'!$AK$9</c:f>
              <c:strCache>
                <c:ptCount val="1"/>
                <c:pt idx="0">
                  <c:v>Hot Chocolate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2'!$AL$9:$AP$9</c:f>
              <c:numCache>
                <c:formatCode>0.00</c:formatCode>
                <c:ptCount val="5"/>
                <c:pt idx="0">
                  <c:v>854.00000000000023</c:v>
                </c:pt>
                <c:pt idx="1">
                  <c:v>506.02</c:v>
                </c:pt>
                <c:pt idx="2">
                  <c:v>529.36000000000013</c:v>
                </c:pt>
                <c:pt idx="3">
                  <c:v>528.08000000000015</c:v>
                </c:pt>
                <c:pt idx="4">
                  <c:v>361.02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16-414F-AB0F-14AC4322510D}"/>
            </c:ext>
          </c:extLst>
        </c:ser>
        <c:ser>
          <c:idx val="5"/>
          <c:order val="5"/>
          <c:tx>
            <c:strRef>
              <c:f>'EDA Analysis 2'!$AK$10</c:f>
              <c:strCache>
                <c:ptCount val="1"/>
                <c:pt idx="0">
                  <c:v>Cortado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2'!$AL$10:$AP$10</c:f>
              <c:numCache>
                <c:formatCode>0.00</c:formatCode>
                <c:ptCount val="5"/>
                <c:pt idx="0">
                  <c:v>869.19999999999959</c:v>
                </c:pt>
                <c:pt idx="1">
                  <c:v>548.4799999999999</c:v>
                </c:pt>
                <c:pt idx="2">
                  <c:v>474.64000000000021</c:v>
                </c:pt>
                <c:pt idx="3">
                  <c:v>530.48000000000025</c:v>
                </c:pt>
                <c:pt idx="4">
                  <c:v>322.28000000000003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16-414F-AB0F-14AC4322510D}"/>
            </c:ext>
          </c:extLst>
        </c:ser>
        <c:ser>
          <c:idx val="6"/>
          <c:order val="6"/>
          <c:tx>
            <c:strRef>
              <c:f>'EDA Analysis 2'!$AK$11</c:f>
              <c:strCache>
                <c:ptCount val="1"/>
                <c:pt idx="0">
                  <c:v>Cocoa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2'!$AL$11:$AP$11</c:f>
              <c:numCache>
                <c:formatCode>0.00</c:formatCode>
                <c:ptCount val="5"/>
                <c:pt idx="0">
                  <c:v>232.2</c:v>
                </c:pt>
                <c:pt idx="1">
                  <c:v>232.82000000000002</c:v>
                </c:pt>
                <c:pt idx="2">
                  <c:v>340.76</c:v>
                </c:pt>
                <c:pt idx="3">
                  <c:v>189.88</c:v>
                </c:pt>
                <c:pt idx="4">
                  <c:v>300.27999999999997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16-414F-AB0F-14AC4322510D}"/>
            </c:ext>
          </c:extLst>
        </c:ser>
        <c:ser>
          <c:idx val="7"/>
          <c:order val="7"/>
          <c:tx>
            <c:strRef>
              <c:f>'EDA Analysis 2'!$AK$12</c:f>
              <c:strCache>
                <c:ptCount val="1"/>
                <c:pt idx="0">
                  <c:v>Espresso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'EDA Analysis 2'!$AL$4:$AP$4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'EDA Analysis 2'!$AL$12:$AP$12</c:f>
              <c:numCache>
                <c:formatCode>0.00</c:formatCode>
                <c:ptCount val="5"/>
                <c:pt idx="0">
                  <c:v>241</c:v>
                </c:pt>
                <c:pt idx="1">
                  <c:v>171</c:v>
                </c:pt>
                <c:pt idx="2">
                  <c:v>185.14000000000001</c:v>
                </c:pt>
                <c:pt idx="3">
                  <c:v>230.20000000000005</c:v>
                </c:pt>
                <c:pt idx="4">
                  <c:v>273.28000000000003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16-414F-AB0F-14AC43225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378256"/>
        <c:axId val="1144377776"/>
      </c:lineChart>
      <c:catAx>
        <c:axId val="1144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377776"/>
        <c:crosses val="autoZero"/>
        <c:auto val="1"/>
        <c:lblAlgn val="ctr"/>
        <c:lblOffset val="100"/>
        <c:noMultiLvlLbl val="0"/>
      </c:catAx>
      <c:valAx>
        <c:axId val="11443777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3727252843394596E-2"/>
          <c:y val="0.79208333333333336"/>
          <c:w val="0.88810083114610661"/>
          <c:h val="0.153358121901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Coffee sales distribution by Time Period</a:t>
            </a:r>
          </a:p>
        </c:rich>
      </c:tx>
      <c:layout>
        <c:manualLayout>
          <c:xMode val="edge"/>
          <c:yMode val="edge"/>
          <c:x val="0.11638869670236666"/>
          <c:y val="8.104125893447973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055333542706095E-2"/>
          <c:y val="0.13422764227642278"/>
          <c:w val="0.86728297017015099"/>
          <c:h val="0.556769946439621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'EDA Analysis 2'!$BB$18:$BB$19</c:f>
              <c:strCache>
                <c:ptCount val="2"/>
                <c:pt idx="0">
                  <c:v>Coffee</c:v>
                </c:pt>
                <c:pt idx="1">
                  <c:v>Latte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2'!$BB$20:$BB$23</c:f>
              <c:numCache>
                <c:formatCode>0%</c:formatCode>
                <c:ptCount val="4"/>
                <c:pt idx="0">
                  <c:v>0.30075456196488798</c:v>
                </c:pt>
                <c:pt idx="1">
                  <c:v>0.19148940423031258</c:v>
                </c:pt>
                <c:pt idx="2">
                  <c:v>0.23197789538107078</c:v>
                </c:pt>
                <c:pt idx="3">
                  <c:v>0.22244941153349007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0-498C-ABBF-B8D3C0BC2AB4}"/>
            </c:ext>
          </c:extLst>
        </c:ser>
        <c:ser>
          <c:idx val="1"/>
          <c:order val="1"/>
          <c:tx>
            <c:strRef>
              <c:f>'EDA Analysis 2'!$BC$18:$BC$19</c:f>
              <c:strCache>
                <c:ptCount val="2"/>
                <c:pt idx="0">
                  <c:v>Coffee</c:v>
                </c:pt>
                <c:pt idx="1">
                  <c:v>Americano with Milk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2'!$BC$20:$BC$23</c:f>
              <c:numCache>
                <c:formatCode>0%</c:formatCode>
                <c:ptCount val="4"/>
                <c:pt idx="0">
                  <c:v>0.23402051082475728</c:v>
                </c:pt>
                <c:pt idx="1">
                  <c:v>0.25000699588641878</c:v>
                </c:pt>
                <c:pt idx="2">
                  <c:v>0.18509198257551202</c:v>
                </c:pt>
                <c:pt idx="3">
                  <c:v>0.2732835448587605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0-498C-ABBF-B8D3C0BC2AB4}"/>
            </c:ext>
          </c:extLst>
        </c:ser>
        <c:ser>
          <c:idx val="2"/>
          <c:order val="2"/>
          <c:tx>
            <c:strRef>
              <c:f>'EDA Analysis 2'!$BD$18:$BD$19</c:f>
              <c:strCache>
                <c:ptCount val="2"/>
                <c:pt idx="0">
                  <c:v>Coffee</c:v>
                </c:pt>
                <c:pt idx="1">
                  <c:v>Cappuccino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2'!$BD$20:$BD$23</c:f>
              <c:numCache>
                <c:formatCode>0%</c:formatCode>
                <c:ptCount val="4"/>
                <c:pt idx="0">
                  <c:v>0.1356373778431203</c:v>
                </c:pt>
                <c:pt idx="1">
                  <c:v>0.17468128740300712</c:v>
                </c:pt>
                <c:pt idx="2">
                  <c:v>0.25624077474169271</c:v>
                </c:pt>
                <c:pt idx="3">
                  <c:v>0.23293371531373538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0-498C-ABBF-B8D3C0BC2AB4}"/>
            </c:ext>
          </c:extLst>
        </c:ser>
        <c:ser>
          <c:idx val="3"/>
          <c:order val="3"/>
          <c:tx>
            <c:strRef>
              <c:f>'EDA Analysis 2'!$BE$18:$BE$19</c:f>
              <c:strCache>
                <c:ptCount val="2"/>
                <c:pt idx="0">
                  <c:v>Coffee</c:v>
                </c:pt>
                <c:pt idx="1">
                  <c:v>Americano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2'!$BE$20:$BE$23</c:f>
              <c:numCache>
                <c:formatCode>0%</c:formatCode>
                <c:ptCount val="4"/>
                <c:pt idx="0">
                  <c:v>0.15414648735910516</c:v>
                </c:pt>
                <c:pt idx="1">
                  <c:v>0.17291832402547311</c:v>
                </c:pt>
                <c:pt idx="2">
                  <c:v>8.3299132375706464E-2</c:v>
                </c:pt>
                <c:pt idx="3">
                  <c:v>5.2481990732691823E-2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0-498C-ABBF-B8D3C0BC2AB4}"/>
            </c:ext>
          </c:extLst>
        </c:ser>
        <c:ser>
          <c:idx val="4"/>
          <c:order val="4"/>
          <c:tx>
            <c:strRef>
              <c:f>'EDA Analysis 2'!$BF$18:$BF$19</c:f>
              <c:strCache>
                <c:ptCount val="2"/>
                <c:pt idx="0">
                  <c:v>Coffee</c:v>
                </c:pt>
                <c:pt idx="1">
                  <c:v>Hot Chocolate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2'!$BF$20:$BF$23</c:f>
              <c:numCache>
                <c:formatCode>0%</c:formatCode>
                <c:ptCount val="4"/>
                <c:pt idx="0">
                  <c:v>4.9851898296289915E-2</c:v>
                </c:pt>
                <c:pt idx="1">
                  <c:v>5.7394252179718337E-2</c:v>
                </c:pt>
                <c:pt idx="2">
                  <c:v>0.10313928790006122</c:v>
                </c:pt>
                <c:pt idx="3">
                  <c:v>9.5405652604446139E-2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0-498C-ABBF-B8D3C0BC2AB4}"/>
            </c:ext>
          </c:extLst>
        </c:ser>
        <c:ser>
          <c:idx val="5"/>
          <c:order val="5"/>
          <c:tx>
            <c:strRef>
              <c:f>'EDA Analysis 2'!$BG$18:$BG$19</c:f>
              <c:strCache>
                <c:ptCount val="2"/>
                <c:pt idx="0">
                  <c:v>Coffee</c:v>
                </c:pt>
                <c:pt idx="1">
                  <c:v>Cortado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2'!$BG$20:$BG$23</c:f>
              <c:numCache>
                <c:formatCode>0%</c:formatCode>
                <c:ptCount val="4"/>
                <c:pt idx="0">
                  <c:v>8.1522600824468813E-2</c:v>
                </c:pt>
                <c:pt idx="1">
                  <c:v>7.9831059337109739E-2</c:v>
                </c:pt>
                <c:pt idx="2">
                  <c:v>7.0360370090362487E-2</c:v>
                </c:pt>
                <c:pt idx="3">
                  <c:v>4.9057773275985879E-2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70-498C-ABBF-B8D3C0BC2AB4}"/>
            </c:ext>
          </c:extLst>
        </c:ser>
        <c:ser>
          <c:idx val="6"/>
          <c:order val="6"/>
          <c:tx>
            <c:strRef>
              <c:f>'EDA Analysis 2'!$BH$18:$BH$19</c:f>
              <c:strCache>
                <c:ptCount val="2"/>
                <c:pt idx="0">
                  <c:v>Coffee</c:v>
                </c:pt>
                <c:pt idx="1">
                  <c:v>Cocoa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2'!$BH$20:$BH$23</c:f>
              <c:numCache>
                <c:formatCode>0%</c:formatCode>
                <c:ptCount val="4"/>
                <c:pt idx="0">
                  <c:v>2.3107108881778086E-2</c:v>
                </c:pt>
                <c:pt idx="1">
                  <c:v>3.2654798978200825E-2</c:v>
                </c:pt>
                <c:pt idx="2">
                  <c:v>3.8193469417143674E-2</c:v>
                </c:pt>
                <c:pt idx="3">
                  <c:v>5.4488899639436678E-2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0-498C-ABBF-B8D3C0BC2AB4}"/>
            </c:ext>
          </c:extLst>
        </c:ser>
        <c:ser>
          <c:idx val="7"/>
          <c:order val="7"/>
          <c:tx>
            <c:strRef>
              <c:f>'EDA Analysis 2'!$BI$18:$BI$19</c:f>
              <c:strCache>
                <c:ptCount val="2"/>
                <c:pt idx="0">
                  <c:v>Coffee</c:v>
                </c:pt>
                <c:pt idx="1">
                  <c:v>Espresso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470-498C-ABBF-B8D3C0BC2A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Analysis 2'!$AZ$20:$BA$23</c:f>
              <c:multiLvlStrCache>
                <c:ptCount val="4"/>
                <c:lvl>
                  <c:pt idx="0">
                    <c:v>7-12</c:v>
                  </c:pt>
                  <c:pt idx="1">
                    <c:v>12-16</c:v>
                  </c:pt>
                  <c:pt idx="2">
                    <c:v>16-20</c:v>
                  </c:pt>
                  <c:pt idx="3">
                    <c:v>20-24 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'EDA Analysis 2'!$BI$20:$BI$23</c:f>
              <c:numCache>
                <c:formatCode>0%</c:formatCode>
                <c:ptCount val="4"/>
                <c:pt idx="0">
                  <c:v>2.0959454005592553E-2</c:v>
                </c:pt>
                <c:pt idx="1">
                  <c:v>4.1023877959759661E-2</c:v>
                </c:pt>
                <c:pt idx="2">
                  <c:v>3.169708751845051E-2</c:v>
                </c:pt>
                <c:pt idx="3">
                  <c:v>1.9899012041453435E-2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70-498C-ABBF-B8D3C0BC2A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20403184"/>
        <c:axId val="1220409904"/>
      </c:barChart>
      <c:catAx>
        <c:axId val="12204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09904"/>
        <c:crosses val="autoZero"/>
        <c:auto val="1"/>
        <c:lblAlgn val="ctr"/>
        <c:lblOffset val="100"/>
        <c:noMultiLvlLbl val="0"/>
      </c:catAx>
      <c:valAx>
        <c:axId val="1220409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0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5307419187463"/>
          <c:y val="0.80182830804686001"/>
          <c:w val="0.76759869600452302"/>
          <c:h val="0.13250615920482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57725</xdr:colOff>
      <xdr:row>1</xdr:row>
      <xdr:rowOff>69273</xdr:rowOff>
    </xdr:from>
    <xdr:to>
      <xdr:col>26</xdr:col>
      <xdr:colOff>542636</xdr:colOff>
      <xdr:row>5</xdr:row>
      <xdr:rowOff>23092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1816C7-A454-404B-9CAA-8CBC7BCC0CF6}"/>
            </a:ext>
          </a:extLst>
        </xdr:cNvPr>
        <xdr:cNvSpPr/>
      </xdr:nvSpPr>
      <xdr:spPr>
        <a:xfrm>
          <a:off x="1281543" y="265546"/>
          <a:ext cx="15170729" cy="692728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GB" sz="4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Coffee Sales Analysis </a:t>
          </a:r>
          <a:endParaRPr lang="en-GB" sz="2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57725</xdr:colOff>
      <xdr:row>5</xdr:row>
      <xdr:rowOff>57727</xdr:rowOff>
    </xdr:from>
    <xdr:to>
      <xdr:col>26</xdr:col>
      <xdr:colOff>542636</xdr:colOff>
      <xdr:row>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9D2E87-D0D7-4E36-B7D6-8F0775244C59}"/>
            </a:ext>
          </a:extLst>
        </xdr:cNvPr>
        <xdr:cNvSpPr/>
      </xdr:nvSpPr>
      <xdr:spPr>
        <a:xfrm>
          <a:off x="1281543" y="992909"/>
          <a:ext cx="15170729" cy="49645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Coffee Sales Revenue Analysis: Identifying Key Time Periods and Top Performers</a:t>
          </a:r>
          <a:endParaRPr lang="en-GB" sz="2400" b="1"/>
        </a:p>
      </xdr:txBody>
    </xdr:sp>
    <xdr:clientData/>
  </xdr:twoCellAnchor>
  <xdr:twoCellAnchor>
    <xdr:from>
      <xdr:col>2</xdr:col>
      <xdr:colOff>34637</xdr:colOff>
      <xdr:row>8</xdr:row>
      <xdr:rowOff>64943</xdr:rowOff>
    </xdr:from>
    <xdr:to>
      <xdr:col>8</xdr:col>
      <xdr:colOff>108239</xdr:colOff>
      <xdr:row>28</xdr:row>
      <xdr:rowOff>161637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3AE17-A5A0-4A2F-B7A1-E2C98F1E0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46182</xdr:colOff>
      <xdr:row>29</xdr:row>
      <xdr:rowOff>0</xdr:rowOff>
    </xdr:from>
    <xdr:to>
      <xdr:col>8</xdr:col>
      <xdr:colOff>103908</xdr:colOff>
      <xdr:row>48</xdr:row>
      <xdr:rowOff>150092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71FC02-C942-4713-AFBF-4CEDFB761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150089</xdr:colOff>
      <xdr:row>8</xdr:row>
      <xdr:rowOff>64944</xdr:rowOff>
    </xdr:from>
    <xdr:to>
      <xdr:col>15</xdr:col>
      <xdr:colOff>266989</xdr:colOff>
      <xdr:row>28</xdr:row>
      <xdr:rowOff>144318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5DE153-338E-488E-9E23-E9A1B9D31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150091</xdr:colOff>
      <xdr:row>29</xdr:row>
      <xdr:rowOff>0</xdr:rowOff>
    </xdr:from>
    <xdr:to>
      <xdr:col>15</xdr:col>
      <xdr:colOff>265546</xdr:colOff>
      <xdr:row>48</xdr:row>
      <xdr:rowOff>138546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425128-8C42-4CFA-840A-F0793BF98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295854</xdr:colOff>
      <xdr:row>14</xdr:row>
      <xdr:rowOff>1</xdr:rowOff>
    </xdr:from>
    <xdr:to>
      <xdr:col>26</xdr:col>
      <xdr:colOff>531092</xdr:colOff>
      <xdr:row>48</xdr:row>
      <xdr:rowOff>127001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37A3AC-B232-4979-AD9B-DB865A0FB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23092</xdr:colOff>
      <xdr:row>49</xdr:row>
      <xdr:rowOff>46182</xdr:rowOff>
    </xdr:from>
    <xdr:to>
      <xdr:col>8</xdr:col>
      <xdr:colOff>461818</xdr:colOff>
      <xdr:row>51</xdr:row>
      <xdr:rowOff>23091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B383D96-2608-4058-8D15-ADC96B8DFB13}"/>
            </a:ext>
          </a:extLst>
        </xdr:cNvPr>
        <xdr:cNvSpPr/>
      </xdr:nvSpPr>
      <xdr:spPr>
        <a:xfrm>
          <a:off x="1246910" y="9120909"/>
          <a:ext cx="4110181" cy="3463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/>
            <a:t>Insights</a:t>
          </a:r>
        </a:p>
      </xdr:txBody>
    </xdr:sp>
    <xdr:clientData/>
  </xdr:twoCellAnchor>
  <xdr:twoCellAnchor>
    <xdr:from>
      <xdr:col>2</xdr:col>
      <xdr:colOff>36080</xdr:colOff>
      <xdr:row>51</xdr:row>
      <xdr:rowOff>72160</xdr:rowOff>
    </xdr:from>
    <xdr:to>
      <xdr:col>26</xdr:col>
      <xdr:colOff>531092</xdr:colOff>
      <xdr:row>55</xdr:row>
      <xdr:rowOff>154421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8F13CC1-720D-4280-B4C1-79B7213E7921}"/>
            </a:ext>
          </a:extLst>
        </xdr:cNvPr>
        <xdr:cNvSpPr/>
      </xdr:nvSpPr>
      <xdr:spPr>
        <a:xfrm>
          <a:off x="1248353" y="9640455"/>
          <a:ext cx="15042284" cy="83271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Latte generates the highest revenue among all coffee types, while Americano with Milk has the highest number of units sold.</a:t>
          </a:r>
        </a:p>
        <a:p>
          <a:pPr algn="l"/>
          <a:r>
            <a:rPr lang="en-IN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Cocoa, Cortado, and Espresso have relatively flat revenue lines, implying consistent but modest sales- Loyal customers /Niche Customers.</a:t>
          </a:r>
        </a:p>
        <a:p>
          <a:pPr algn="l"/>
          <a:r>
            <a:rPr lang="en-IN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Every coffee, regardless of type, had a negative deviation in July, a possible indicator of seasonal downturn or reduced footfall</a:t>
          </a:r>
          <a:r>
            <a:rPr lang="en-IN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en-IN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7-12 (Morning) and 16-20 (Evening) are tied as the busiest periods at 30% each of total sales.</a:t>
          </a:r>
          <a:r>
            <a:rPr lang="en-IN">
              <a:solidFill>
                <a:sysClr val="windowText" lastClr="000000"/>
              </a:solidFill>
            </a:rPr>
            <a:t> </a:t>
          </a:r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57727</xdr:colOff>
      <xdr:row>56</xdr:row>
      <xdr:rowOff>21647</xdr:rowOff>
    </xdr:from>
    <xdr:to>
      <xdr:col>12</xdr:col>
      <xdr:colOff>577273</xdr:colOff>
      <xdr:row>58</xdr:row>
      <xdr:rowOff>173182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DD87DA9-349B-4021-A56F-DD2E9886F0C8}"/>
            </a:ext>
          </a:extLst>
        </xdr:cNvPr>
        <xdr:cNvSpPr/>
      </xdr:nvSpPr>
      <xdr:spPr>
        <a:xfrm>
          <a:off x="1270000" y="10528011"/>
          <a:ext cx="6580909" cy="52676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Time</a:t>
          </a:r>
          <a:r>
            <a:rPr lang="en-GB" sz="1100" baseline="0"/>
            <a:t> Dauration : April'05 to April'29</a:t>
          </a:r>
        </a:p>
        <a:p>
          <a:pPr algn="l"/>
          <a:r>
            <a:rPr lang="en-GB" sz="1100" baseline="0"/>
            <a:t>Potiential Dataset : 1134*6   | Caveats : Missing Data Found in Card Payments </a:t>
          </a:r>
          <a:endParaRPr lang="en-GB" sz="1100"/>
        </a:p>
      </xdr:txBody>
    </xdr:sp>
    <xdr:clientData/>
  </xdr:twoCellAnchor>
  <xdr:twoCellAnchor>
    <xdr:from>
      <xdr:col>13</xdr:col>
      <xdr:colOff>34637</xdr:colOff>
      <xdr:row>56</xdr:row>
      <xdr:rowOff>28863</xdr:rowOff>
    </xdr:from>
    <xdr:to>
      <xdr:col>26</xdr:col>
      <xdr:colOff>512330</xdr:colOff>
      <xdr:row>58</xdr:row>
      <xdr:rowOff>161636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3A74265-47AA-4734-B9C1-7DC77F7E861E}"/>
            </a:ext>
          </a:extLst>
        </xdr:cNvPr>
        <xdr:cNvSpPr/>
      </xdr:nvSpPr>
      <xdr:spPr>
        <a:xfrm>
          <a:off x="7914410" y="10535227"/>
          <a:ext cx="8357465" cy="508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/>
            <a:t>Hourly Time Intervals: 7-12 (Morning</a:t>
          </a:r>
          <a:r>
            <a:rPr lang="en-IN" baseline="0"/>
            <a:t> Hours), 12- 16 (Afternoon Hours),16-20(Evening Hours),20-24(Night Time Hours)</a:t>
          </a:r>
          <a:endParaRPr lang="en-GB" sz="1100" baseline="0"/>
        </a:p>
        <a:p>
          <a:pPr algn="l"/>
          <a:r>
            <a:rPr lang="en-GB" sz="1100" b="1" baseline="0"/>
            <a:t>Datasets : Coffee Sales Dataset  </a:t>
          </a:r>
          <a:endParaRPr lang="en-GB" sz="1100" b="1"/>
        </a:p>
      </xdr:txBody>
    </xdr:sp>
    <xdr:clientData/>
  </xdr:twoCellAnchor>
  <xdr:twoCellAnchor>
    <xdr:from>
      <xdr:col>15</xdr:col>
      <xdr:colOff>295854</xdr:colOff>
      <xdr:row>8</xdr:row>
      <xdr:rowOff>64943</xdr:rowOff>
    </xdr:from>
    <xdr:to>
      <xdr:col>21</xdr:col>
      <xdr:colOff>454603</xdr:colOff>
      <xdr:row>13</xdr:row>
      <xdr:rowOff>165966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C319E22-DDE2-4FA0-9C2C-B64FE7941EE9}"/>
            </a:ext>
          </a:extLst>
        </xdr:cNvPr>
        <xdr:cNvSpPr/>
      </xdr:nvSpPr>
      <xdr:spPr>
        <a:xfrm>
          <a:off x="9387899" y="1565852"/>
          <a:ext cx="3795568" cy="103909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aseline="0"/>
            <a:t>Premium Product:</a:t>
          </a:r>
        </a:p>
        <a:p>
          <a:pPr algn="l"/>
          <a:r>
            <a:rPr lang="en-GB" sz="2400" baseline="0"/>
            <a:t>            </a:t>
          </a:r>
          <a:r>
            <a:rPr lang="en-GB" sz="2400" b="1" i="0" baseline="0">
              <a:solidFill>
                <a:schemeClr val="bg1"/>
              </a:solidFill>
              <a:latin typeface="Algerian" panose="04020705040A02060702" pitchFamily="82" charset="0"/>
            </a:rPr>
            <a:t>HOT CHOCOLATE  </a:t>
          </a:r>
          <a:endParaRPr lang="en-GB" sz="2400" b="1" i="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21</xdr:col>
      <xdr:colOff>505113</xdr:colOff>
      <xdr:row>8</xdr:row>
      <xdr:rowOff>57729</xdr:rowOff>
    </xdr:from>
    <xdr:to>
      <xdr:col>26</xdr:col>
      <xdr:colOff>526762</xdr:colOff>
      <xdr:row>13</xdr:row>
      <xdr:rowOff>151535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B986812-4275-40D8-BAFF-AF7C8FA0E39C}"/>
            </a:ext>
          </a:extLst>
        </xdr:cNvPr>
        <xdr:cNvSpPr/>
      </xdr:nvSpPr>
      <xdr:spPr>
        <a:xfrm>
          <a:off x="13233977" y="1558638"/>
          <a:ext cx="3052330" cy="1031874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aseline="0"/>
            <a:t>Total Revenue:</a:t>
          </a:r>
        </a:p>
        <a:p>
          <a:pPr algn="l"/>
          <a:r>
            <a:rPr lang="en-GB" sz="2400" baseline="0"/>
            <a:t>          </a:t>
          </a:r>
          <a:r>
            <a:rPr lang="en-GB" sz="3200" baseline="0">
              <a:latin typeface="Calisto MT" panose="02040603050505030304" pitchFamily="18" charset="0"/>
            </a:rPr>
            <a:t>37508.88</a:t>
          </a:r>
          <a:endParaRPr lang="en-GB" sz="2400">
            <a:latin typeface="Calisto MT" panose="02040603050505030304" pitchFamily="18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0.66974</cdr:x>
      <cdr:y>0.06172</cdr:y>
    </cdr:from>
    <cdr:to>
      <cdr:x>0.89727</cdr:x>
      <cdr:y>0.18174</cdr:y>
    </cdr:to>
    <cdr:sp macro="" textlink="">
      <cdr:nvSpPr>
        <cdr:cNvPr id="2" name="Speech Bubble: Rectangle 1">
          <a:extLst xmlns:a="http://schemas.openxmlformats.org/drawingml/2006/main">
            <a:ext uri="{FF2B5EF4-FFF2-40B4-BE49-F238E27FC236}">
              <a16:creationId xmlns:a16="http://schemas.microsoft.com/office/drawing/2014/main" id="{7DEE2B07-FE0B-B9C9-F0C9-1FD51F991956}"/>
            </a:ext>
          </a:extLst>
        </cdr:cNvPr>
        <cdr:cNvSpPr/>
      </cdr:nvSpPr>
      <cdr:spPr>
        <a:xfrm xmlns:a="http://schemas.openxmlformats.org/drawingml/2006/main">
          <a:off x="4632298" y="384433"/>
          <a:ext cx="1573695" cy="747521"/>
        </a:xfrm>
        <a:prstGeom xmlns:a="http://schemas.openxmlformats.org/drawingml/2006/main" prst="wedgeRectCallout">
          <a:avLst>
            <a:gd name="adj1" fmla="val -48633"/>
            <a:gd name="adj2" fmla="val 272269"/>
          </a:avLst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>
          <a:prstDash val="dash"/>
          <a:extLst>
            <a:ext uri="{C807C97D-BFC1-408E-A445-0C87EB9F89A2}">
              <ask:lineSketchStyleProps xmlns:ask="http://schemas.microsoft.com/office/drawing/2018/sketchyshapes" sd="2640294349">
                <a:custGeom>
                  <a:avLst/>
                  <a:gdLst>
                    <a:gd name="connsiteX0" fmla="*/ 0 w 895350"/>
                    <a:gd name="connsiteY0" fmla="*/ 0 h 527050"/>
                    <a:gd name="connsiteX1" fmla="*/ 149225 w 895350"/>
                    <a:gd name="connsiteY1" fmla="*/ 0 h 527050"/>
                    <a:gd name="connsiteX2" fmla="*/ 149225 w 895350"/>
                    <a:gd name="connsiteY2" fmla="*/ 0 h 527050"/>
                    <a:gd name="connsiteX3" fmla="*/ 373063 w 895350"/>
                    <a:gd name="connsiteY3" fmla="*/ 0 h 527050"/>
                    <a:gd name="connsiteX4" fmla="*/ 895350 w 895350"/>
                    <a:gd name="connsiteY4" fmla="*/ 0 h 527050"/>
                    <a:gd name="connsiteX5" fmla="*/ 895350 w 895350"/>
                    <a:gd name="connsiteY5" fmla="*/ 307446 h 527050"/>
                    <a:gd name="connsiteX6" fmla="*/ 895350 w 895350"/>
                    <a:gd name="connsiteY6" fmla="*/ 307446 h 527050"/>
                    <a:gd name="connsiteX7" fmla="*/ 895350 w 895350"/>
                    <a:gd name="connsiteY7" fmla="*/ 439208 h 527050"/>
                    <a:gd name="connsiteX8" fmla="*/ 895350 w 895350"/>
                    <a:gd name="connsiteY8" fmla="*/ 527050 h 527050"/>
                    <a:gd name="connsiteX9" fmla="*/ 373063 w 895350"/>
                    <a:gd name="connsiteY9" fmla="*/ 527050 h 527050"/>
                    <a:gd name="connsiteX10" fmla="*/ 261147 w 895350"/>
                    <a:gd name="connsiteY10" fmla="*/ 592931 h 527050"/>
                    <a:gd name="connsiteX11" fmla="*/ 149225 w 895350"/>
                    <a:gd name="connsiteY11" fmla="*/ 527050 h 527050"/>
                    <a:gd name="connsiteX12" fmla="*/ 0 w 895350"/>
                    <a:gd name="connsiteY12" fmla="*/ 527050 h 527050"/>
                    <a:gd name="connsiteX13" fmla="*/ 0 w 895350"/>
                    <a:gd name="connsiteY13" fmla="*/ 439208 h 527050"/>
                    <a:gd name="connsiteX14" fmla="*/ 0 w 895350"/>
                    <a:gd name="connsiteY14" fmla="*/ 307446 h 527050"/>
                    <a:gd name="connsiteX15" fmla="*/ 0 w 895350"/>
                    <a:gd name="connsiteY15" fmla="*/ 307446 h 527050"/>
                    <a:gd name="connsiteX16" fmla="*/ 0 w 895350"/>
                    <a:gd name="connsiteY16" fmla="*/ 0 h 5270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</a:cxnLst>
                  <a:rect l="l" t="t" r="r" b="b"/>
                  <a:pathLst>
                    <a:path w="895350" h="527050" fill="none" extrusionOk="0">
                      <a:moveTo>
                        <a:pt x="0" y="0"/>
                      </a:moveTo>
                      <a:cubicBezTo>
                        <a:pt x="44850" y="10353"/>
                        <a:pt x="128991" y="9183"/>
                        <a:pt x="149225" y="0"/>
                      </a:cubicBezTo>
                      <a:lnTo>
                        <a:pt x="149225" y="0"/>
                      </a:lnTo>
                      <a:cubicBezTo>
                        <a:pt x="236444" y="10485"/>
                        <a:pt x="263240" y="-11727"/>
                        <a:pt x="373063" y="0"/>
                      </a:cubicBezTo>
                      <a:cubicBezTo>
                        <a:pt x="504437" y="30228"/>
                        <a:pt x="733456" y="25349"/>
                        <a:pt x="895350" y="0"/>
                      </a:cubicBezTo>
                      <a:cubicBezTo>
                        <a:pt x="878333" y="77249"/>
                        <a:pt x="900813" y="182364"/>
                        <a:pt x="895350" y="307446"/>
                      </a:cubicBezTo>
                      <a:lnTo>
                        <a:pt x="895350" y="307446"/>
                      </a:lnTo>
                      <a:cubicBezTo>
                        <a:pt x="906159" y="349829"/>
                        <a:pt x="905423" y="383817"/>
                        <a:pt x="895350" y="439208"/>
                      </a:cubicBezTo>
                      <a:cubicBezTo>
                        <a:pt x="893030" y="471843"/>
                        <a:pt x="895253" y="490363"/>
                        <a:pt x="895350" y="527050"/>
                      </a:cubicBezTo>
                      <a:cubicBezTo>
                        <a:pt x="690264" y="518535"/>
                        <a:pt x="509408" y="486017"/>
                        <a:pt x="373063" y="527050"/>
                      </a:cubicBezTo>
                      <a:cubicBezTo>
                        <a:pt x="315845" y="552430"/>
                        <a:pt x="276270" y="584679"/>
                        <a:pt x="261147" y="592931"/>
                      </a:cubicBezTo>
                      <a:cubicBezTo>
                        <a:pt x="209459" y="569296"/>
                        <a:pt x="201271" y="547092"/>
                        <a:pt x="149225" y="527050"/>
                      </a:cubicBezTo>
                      <a:cubicBezTo>
                        <a:pt x="76330" y="521778"/>
                        <a:pt x="34952" y="534386"/>
                        <a:pt x="0" y="527050"/>
                      </a:cubicBezTo>
                      <a:cubicBezTo>
                        <a:pt x="-2573" y="507540"/>
                        <a:pt x="-1693" y="463968"/>
                        <a:pt x="0" y="439208"/>
                      </a:cubicBezTo>
                      <a:cubicBezTo>
                        <a:pt x="4819" y="400725"/>
                        <a:pt x="-6870" y="338405"/>
                        <a:pt x="0" y="307446"/>
                      </a:cubicBezTo>
                      <a:lnTo>
                        <a:pt x="0" y="307446"/>
                      </a:lnTo>
                      <a:cubicBezTo>
                        <a:pt x="-1497" y="268774"/>
                        <a:pt x="-26302" y="56410"/>
                        <a:pt x="0" y="0"/>
                      </a:cubicBezTo>
                      <a:close/>
                    </a:path>
                    <a:path w="895350" h="527050" stroke="0" extrusionOk="0">
                      <a:moveTo>
                        <a:pt x="0" y="0"/>
                      </a:moveTo>
                      <a:cubicBezTo>
                        <a:pt x="23331" y="-11724"/>
                        <a:pt x="116946" y="554"/>
                        <a:pt x="149225" y="0"/>
                      </a:cubicBezTo>
                      <a:lnTo>
                        <a:pt x="149225" y="0"/>
                      </a:lnTo>
                      <a:cubicBezTo>
                        <a:pt x="247711" y="4621"/>
                        <a:pt x="329445" y="15899"/>
                        <a:pt x="373063" y="0"/>
                      </a:cubicBezTo>
                      <a:cubicBezTo>
                        <a:pt x="455321" y="24439"/>
                        <a:pt x="744752" y="36432"/>
                        <a:pt x="895350" y="0"/>
                      </a:cubicBezTo>
                      <a:cubicBezTo>
                        <a:pt x="879678" y="95591"/>
                        <a:pt x="920197" y="226262"/>
                        <a:pt x="895350" y="307446"/>
                      </a:cubicBezTo>
                      <a:lnTo>
                        <a:pt x="895350" y="307446"/>
                      </a:lnTo>
                      <a:cubicBezTo>
                        <a:pt x="900691" y="361402"/>
                        <a:pt x="905536" y="411771"/>
                        <a:pt x="895350" y="439208"/>
                      </a:cubicBezTo>
                      <a:cubicBezTo>
                        <a:pt x="901994" y="451534"/>
                        <a:pt x="902200" y="504299"/>
                        <a:pt x="895350" y="527050"/>
                      </a:cubicBezTo>
                      <a:cubicBezTo>
                        <a:pt x="769587" y="537098"/>
                        <a:pt x="539116" y="556387"/>
                        <a:pt x="373063" y="527050"/>
                      </a:cubicBezTo>
                      <a:cubicBezTo>
                        <a:pt x="317953" y="558297"/>
                        <a:pt x="316114" y="558770"/>
                        <a:pt x="261147" y="592931"/>
                      </a:cubicBezTo>
                      <a:cubicBezTo>
                        <a:pt x="217010" y="571847"/>
                        <a:pt x="200959" y="556313"/>
                        <a:pt x="149225" y="527050"/>
                      </a:cubicBezTo>
                      <a:cubicBezTo>
                        <a:pt x="75059" y="524087"/>
                        <a:pt x="46840" y="539465"/>
                        <a:pt x="0" y="527050"/>
                      </a:cubicBezTo>
                      <a:cubicBezTo>
                        <a:pt x="1043" y="507545"/>
                        <a:pt x="-1550" y="452838"/>
                        <a:pt x="0" y="439208"/>
                      </a:cubicBezTo>
                      <a:cubicBezTo>
                        <a:pt x="4090" y="403498"/>
                        <a:pt x="-1683" y="335787"/>
                        <a:pt x="0" y="307446"/>
                      </a:cubicBezTo>
                      <a:lnTo>
                        <a:pt x="0" y="307446"/>
                      </a:lnTo>
                      <a:cubicBezTo>
                        <a:pt x="19466" y="185712"/>
                        <a:pt x="5142" y="84662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sz="1600" b="1" kern="1200">
              <a:solidFill>
                <a:schemeClr val="tx1"/>
              </a:solidFill>
            </a:rPr>
            <a:t>39</a:t>
          </a:r>
          <a:r>
            <a:rPr lang="en-IN" sz="1000" b="1" kern="1200">
              <a:solidFill>
                <a:schemeClr val="tx1"/>
              </a:solidFill>
            </a:rPr>
            <a:t> </a:t>
          </a:r>
          <a:r>
            <a:rPr lang="en-IN" sz="1800" b="1" kern="1200">
              <a:solidFill>
                <a:schemeClr val="tx1"/>
              </a:solidFill>
            </a:rPr>
            <a:t>%</a:t>
          </a:r>
          <a:r>
            <a:rPr lang="en-IN" sz="1000" b="1" kern="1200">
              <a:solidFill>
                <a:schemeClr val="tx1"/>
              </a:solidFill>
            </a:rPr>
            <a:t> </a:t>
          </a:r>
          <a:r>
            <a:rPr lang="en-IN" sz="1800" b="1" kern="1200">
              <a:solidFill>
                <a:schemeClr val="tx1"/>
              </a:solidFill>
            </a:rPr>
            <a:t>of</a:t>
          </a:r>
          <a:r>
            <a:rPr lang="en-IN" sz="1000" b="1" kern="1200" baseline="0">
              <a:solidFill>
                <a:schemeClr val="tx1"/>
              </a:solidFill>
            </a:rPr>
            <a:t> </a:t>
          </a:r>
          <a:r>
            <a:rPr lang="en-IN" sz="1600" b="1" kern="1200" baseline="0">
              <a:solidFill>
                <a:schemeClr val="tx1"/>
              </a:solidFill>
            </a:rPr>
            <a:t>Cappuccino</a:t>
          </a:r>
          <a:endParaRPr lang="en-IN" sz="1000" b="1" kern="1200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177800</xdr:rowOff>
    </xdr:from>
    <xdr:to>
      <xdr:col>5</xdr:col>
      <xdr:colOff>533400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ED2CB-A9AE-78C0-7E83-CE8C1DE7F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31750</xdr:rowOff>
    </xdr:from>
    <xdr:to>
      <xdr:col>11</xdr:col>
      <xdr:colOff>577850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52EA44-EEDC-2E8C-2FE1-0A47FC279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6350</xdr:colOff>
      <xdr:row>10</xdr:row>
      <xdr:rowOff>0</xdr:rowOff>
    </xdr:from>
    <xdr:to>
      <xdr:col>16</xdr:col>
      <xdr:colOff>590550</xdr:colOff>
      <xdr:row>22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1ADA1A-0967-4923-F6AF-D03E4B049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27</xdr:row>
      <xdr:rowOff>114300</xdr:rowOff>
    </xdr:from>
    <xdr:to>
      <xdr:col>30</xdr:col>
      <xdr:colOff>400051</xdr:colOff>
      <xdr:row>41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21AE1-433D-B618-556D-B547A5C31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9525</xdr:colOff>
      <xdr:row>12</xdr:row>
      <xdr:rowOff>50800</xdr:rowOff>
    </xdr:from>
    <xdr:to>
      <xdr:col>42</xdr:col>
      <xdr:colOff>330200</xdr:colOff>
      <xdr:row>26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F2A36D-7451-F9CA-60D6-D005C7E70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403225</xdr:colOff>
      <xdr:row>12</xdr:row>
      <xdr:rowOff>63500</xdr:rowOff>
    </xdr:from>
    <xdr:to>
      <xdr:col>46</xdr:col>
      <xdr:colOff>82550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84429D-D383-6321-DFAE-34D396BFF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257175</xdr:colOff>
      <xdr:row>27</xdr:row>
      <xdr:rowOff>57150</xdr:rowOff>
    </xdr:from>
    <xdr:to>
      <xdr:col>44</xdr:col>
      <xdr:colOff>371475</xdr:colOff>
      <xdr:row>42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63EDAF-0E0B-7CB4-D56B-B318DEA6A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149224</xdr:colOff>
      <xdr:row>8</xdr:row>
      <xdr:rowOff>133350</xdr:rowOff>
    </xdr:from>
    <xdr:to>
      <xdr:col>72</xdr:col>
      <xdr:colOff>209550</xdr:colOff>
      <xdr:row>34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37C68E-2B83-2977-D8BC-FACC872F1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0.64511</cdr:x>
      <cdr:y>0.36314</cdr:y>
    </cdr:from>
    <cdr:to>
      <cdr:x>0.79851</cdr:x>
      <cdr:y>0.44986</cdr:y>
    </cdr:to>
    <cdr:sp macro="" textlink="">
      <cdr:nvSpPr>
        <cdr:cNvPr id="2" name="Speech Bubble: Rectangle 1">
          <a:extLst xmlns:a="http://schemas.openxmlformats.org/drawingml/2006/main">
            <a:ext uri="{FF2B5EF4-FFF2-40B4-BE49-F238E27FC236}">
              <a16:creationId xmlns:a16="http://schemas.microsoft.com/office/drawing/2014/main" id="{7DEE2B07-FE0B-B9C9-F0C9-1FD51F991956}"/>
            </a:ext>
          </a:extLst>
        </cdr:cNvPr>
        <cdr:cNvSpPr/>
      </cdr:nvSpPr>
      <cdr:spPr>
        <a:xfrm xmlns:a="http://schemas.openxmlformats.org/drawingml/2006/main">
          <a:off x="3578226" y="1701800"/>
          <a:ext cx="850900" cy="406400"/>
        </a:xfrm>
        <a:prstGeom xmlns:a="http://schemas.openxmlformats.org/drawingml/2006/main" prst="wedgeRectCallou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prstDash val="dash"/>
          <a:extLst>
            <a:ext uri="{C807C97D-BFC1-408E-A445-0C87EB9F89A2}">
              <ask:lineSketchStyleProps xmlns:ask="http://schemas.microsoft.com/office/drawing/2018/sketchyshapes" sd="2640294349">
                <a:custGeom>
                  <a:avLst/>
                  <a:gdLst>
                    <a:gd name="connsiteX0" fmla="*/ 0 w 895350"/>
                    <a:gd name="connsiteY0" fmla="*/ 0 h 527050"/>
                    <a:gd name="connsiteX1" fmla="*/ 149225 w 895350"/>
                    <a:gd name="connsiteY1" fmla="*/ 0 h 527050"/>
                    <a:gd name="connsiteX2" fmla="*/ 149225 w 895350"/>
                    <a:gd name="connsiteY2" fmla="*/ 0 h 527050"/>
                    <a:gd name="connsiteX3" fmla="*/ 373063 w 895350"/>
                    <a:gd name="connsiteY3" fmla="*/ 0 h 527050"/>
                    <a:gd name="connsiteX4" fmla="*/ 895350 w 895350"/>
                    <a:gd name="connsiteY4" fmla="*/ 0 h 527050"/>
                    <a:gd name="connsiteX5" fmla="*/ 895350 w 895350"/>
                    <a:gd name="connsiteY5" fmla="*/ 307446 h 527050"/>
                    <a:gd name="connsiteX6" fmla="*/ 895350 w 895350"/>
                    <a:gd name="connsiteY6" fmla="*/ 307446 h 527050"/>
                    <a:gd name="connsiteX7" fmla="*/ 895350 w 895350"/>
                    <a:gd name="connsiteY7" fmla="*/ 439208 h 527050"/>
                    <a:gd name="connsiteX8" fmla="*/ 895350 w 895350"/>
                    <a:gd name="connsiteY8" fmla="*/ 527050 h 527050"/>
                    <a:gd name="connsiteX9" fmla="*/ 373063 w 895350"/>
                    <a:gd name="connsiteY9" fmla="*/ 527050 h 527050"/>
                    <a:gd name="connsiteX10" fmla="*/ 261147 w 895350"/>
                    <a:gd name="connsiteY10" fmla="*/ 592931 h 527050"/>
                    <a:gd name="connsiteX11" fmla="*/ 149225 w 895350"/>
                    <a:gd name="connsiteY11" fmla="*/ 527050 h 527050"/>
                    <a:gd name="connsiteX12" fmla="*/ 0 w 895350"/>
                    <a:gd name="connsiteY12" fmla="*/ 527050 h 527050"/>
                    <a:gd name="connsiteX13" fmla="*/ 0 w 895350"/>
                    <a:gd name="connsiteY13" fmla="*/ 439208 h 527050"/>
                    <a:gd name="connsiteX14" fmla="*/ 0 w 895350"/>
                    <a:gd name="connsiteY14" fmla="*/ 307446 h 527050"/>
                    <a:gd name="connsiteX15" fmla="*/ 0 w 895350"/>
                    <a:gd name="connsiteY15" fmla="*/ 307446 h 527050"/>
                    <a:gd name="connsiteX16" fmla="*/ 0 w 895350"/>
                    <a:gd name="connsiteY16" fmla="*/ 0 h 5270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</a:cxnLst>
                  <a:rect l="l" t="t" r="r" b="b"/>
                  <a:pathLst>
                    <a:path w="895350" h="527050" fill="none" extrusionOk="0">
                      <a:moveTo>
                        <a:pt x="0" y="0"/>
                      </a:moveTo>
                      <a:cubicBezTo>
                        <a:pt x="44850" y="10353"/>
                        <a:pt x="128991" y="9183"/>
                        <a:pt x="149225" y="0"/>
                      </a:cubicBezTo>
                      <a:lnTo>
                        <a:pt x="149225" y="0"/>
                      </a:lnTo>
                      <a:cubicBezTo>
                        <a:pt x="236444" y="10485"/>
                        <a:pt x="263240" y="-11727"/>
                        <a:pt x="373063" y="0"/>
                      </a:cubicBezTo>
                      <a:cubicBezTo>
                        <a:pt x="504437" y="30228"/>
                        <a:pt x="733456" y="25349"/>
                        <a:pt x="895350" y="0"/>
                      </a:cubicBezTo>
                      <a:cubicBezTo>
                        <a:pt x="878333" y="77249"/>
                        <a:pt x="900813" y="182364"/>
                        <a:pt x="895350" y="307446"/>
                      </a:cubicBezTo>
                      <a:lnTo>
                        <a:pt x="895350" y="307446"/>
                      </a:lnTo>
                      <a:cubicBezTo>
                        <a:pt x="906159" y="349829"/>
                        <a:pt x="905423" y="383817"/>
                        <a:pt x="895350" y="439208"/>
                      </a:cubicBezTo>
                      <a:cubicBezTo>
                        <a:pt x="893030" y="471843"/>
                        <a:pt x="895253" y="490363"/>
                        <a:pt x="895350" y="527050"/>
                      </a:cubicBezTo>
                      <a:cubicBezTo>
                        <a:pt x="690264" y="518535"/>
                        <a:pt x="509408" y="486017"/>
                        <a:pt x="373063" y="527050"/>
                      </a:cubicBezTo>
                      <a:cubicBezTo>
                        <a:pt x="315845" y="552430"/>
                        <a:pt x="276270" y="584679"/>
                        <a:pt x="261147" y="592931"/>
                      </a:cubicBezTo>
                      <a:cubicBezTo>
                        <a:pt x="209459" y="569296"/>
                        <a:pt x="201271" y="547092"/>
                        <a:pt x="149225" y="527050"/>
                      </a:cubicBezTo>
                      <a:cubicBezTo>
                        <a:pt x="76330" y="521778"/>
                        <a:pt x="34952" y="534386"/>
                        <a:pt x="0" y="527050"/>
                      </a:cubicBezTo>
                      <a:cubicBezTo>
                        <a:pt x="-2573" y="507540"/>
                        <a:pt x="-1693" y="463968"/>
                        <a:pt x="0" y="439208"/>
                      </a:cubicBezTo>
                      <a:cubicBezTo>
                        <a:pt x="4819" y="400725"/>
                        <a:pt x="-6870" y="338405"/>
                        <a:pt x="0" y="307446"/>
                      </a:cubicBezTo>
                      <a:lnTo>
                        <a:pt x="0" y="307446"/>
                      </a:lnTo>
                      <a:cubicBezTo>
                        <a:pt x="-1497" y="268774"/>
                        <a:pt x="-26302" y="56410"/>
                        <a:pt x="0" y="0"/>
                      </a:cubicBezTo>
                      <a:close/>
                    </a:path>
                    <a:path w="895350" h="527050" stroke="0" extrusionOk="0">
                      <a:moveTo>
                        <a:pt x="0" y="0"/>
                      </a:moveTo>
                      <a:cubicBezTo>
                        <a:pt x="23331" y="-11724"/>
                        <a:pt x="116946" y="554"/>
                        <a:pt x="149225" y="0"/>
                      </a:cubicBezTo>
                      <a:lnTo>
                        <a:pt x="149225" y="0"/>
                      </a:lnTo>
                      <a:cubicBezTo>
                        <a:pt x="247711" y="4621"/>
                        <a:pt x="329445" y="15899"/>
                        <a:pt x="373063" y="0"/>
                      </a:cubicBezTo>
                      <a:cubicBezTo>
                        <a:pt x="455321" y="24439"/>
                        <a:pt x="744752" y="36432"/>
                        <a:pt x="895350" y="0"/>
                      </a:cubicBezTo>
                      <a:cubicBezTo>
                        <a:pt x="879678" y="95591"/>
                        <a:pt x="920197" y="226262"/>
                        <a:pt x="895350" y="307446"/>
                      </a:cubicBezTo>
                      <a:lnTo>
                        <a:pt x="895350" y="307446"/>
                      </a:lnTo>
                      <a:cubicBezTo>
                        <a:pt x="900691" y="361402"/>
                        <a:pt x="905536" y="411771"/>
                        <a:pt x="895350" y="439208"/>
                      </a:cubicBezTo>
                      <a:cubicBezTo>
                        <a:pt x="901994" y="451534"/>
                        <a:pt x="902200" y="504299"/>
                        <a:pt x="895350" y="527050"/>
                      </a:cubicBezTo>
                      <a:cubicBezTo>
                        <a:pt x="769587" y="537098"/>
                        <a:pt x="539116" y="556387"/>
                        <a:pt x="373063" y="527050"/>
                      </a:cubicBezTo>
                      <a:cubicBezTo>
                        <a:pt x="317953" y="558297"/>
                        <a:pt x="316114" y="558770"/>
                        <a:pt x="261147" y="592931"/>
                      </a:cubicBezTo>
                      <a:cubicBezTo>
                        <a:pt x="217010" y="571847"/>
                        <a:pt x="200959" y="556313"/>
                        <a:pt x="149225" y="527050"/>
                      </a:cubicBezTo>
                      <a:cubicBezTo>
                        <a:pt x="75059" y="524087"/>
                        <a:pt x="46840" y="539465"/>
                        <a:pt x="0" y="527050"/>
                      </a:cubicBezTo>
                      <a:cubicBezTo>
                        <a:pt x="1043" y="507545"/>
                        <a:pt x="-1550" y="452838"/>
                        <a:pt x="0" y="439208"/>
                      </a:cubicBezTo>
                      <a:cubicBezTo>
                        <a:pt x="4090" y="403498"/>
                        <a:pt x="-1683" y="335787"/>
                        <a:pt x="0" y="307446"/>
                      </a:cubicBezTo>
                      <a:lnTo>
                        <a:pt x="0" y="307446"/>
                      </a:lnTo>
                      <a:cubicBezTo>
                        <a:pt x="19466" y="185712"/>
                        <a:pt x="5142" y="84662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sz="1000" b="1" kern="1200">
              <a:solidFill>
                <a:sysClr val="windowText" lastClr="000000"/>
              </a:solidFill>
            </a:rPr>
            <a:t>39 % of</a:t>
          </a:r>
          <a:r>
            <a:rPr lang="en-IN" sz="1000" b="1" kern="1200" baseline="0">
              <a:solidFill>
                <a:sysClr val="windowText" lastClr="000000"/>
              </a:solidFill>
            </a:rPr>
            <a:t> Cappuccino</a:t>
          </a:r>
          <a:endParaRPr lang="en-IN" sz="1000" b="1" kern="1200">
            <a:solidFill>
              <a:sysClr val="windowText" lastClr="000000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49" refreshedDate="45776.697277083331" createdVersion="8" refreshedVersion="8" minRefreshableVersion="3" recordCount="1133" xr:uid="{AED45241-9C21-435D-890C-AF0132D46D2C}">
  <cacheSource type="worksheet">
    <worksheetSource ref="A1:I1134" sheet="Main Data"/>
  </cacheSource>
  <cacheFields count="14">
    <cacheField name="date" numFmtId="165">
      <sharedItems containsSemiMixedTypes="0" containsNonDate="0" containsDate="1" containsString="0" minDate="2024-03-01T00:00:00" maxDate="2024-08-01T00:00:00" count="150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</sharedItems>
      <fieldGroup par="12"/>
    </cacheField>
    <cacheField name="Month" numFmtId="165">
      <sharedItems/>
    </cacheField>
    <cacheField name="Weekday" numFmtId="14">
      <sharedItems count="7">
        <s v="Friday"/>
        <s v="Saturday"/>
        <s v="Sunday"/>
        <s v="Monday"/>
        <s v="Tuesday"/>
        <s v="Wednesday"/>
        <s v="Thursday"/>
      </sharedItems>
    </cacheField>
    <cacheField name="datetime" numFmtId="47">
      <sharedItems containsSemiMixedTypes="0" containsNonDate="0" containsDate="1" containsString="0" minDate="2024-03-01T10:15:51" maxDate="2024-07-31T21:55:17" count="1133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</sharedItems>
      <fieldGroup par="10"/>
    </cacheField>
    <cacheField name="Hour" numFmtId="0">
      <sharedItems containsMixedTypes="1" containsNumber="1" containsInteger="1" minValue="7" maxValue="22" count="20">
        <s v="7-12"/>
        <s v="12-16"/>
        <s v="16-20"/>
        <s v="20-24 "/>
        <n v="10" u="1"/>
        <n v="12" u="1"/>
        <n v="13" u="1"/>
        <n v="15" u="1"/>
        <n v="16" u="1"/>
        <n v="18" u="1"/>
        <n v="19" u="1"/>
        <n v="11" u="1"/>
        <n v="14" u="1"/>
        <n v="17" u="1"/>
        <n v="9" u="1"/>
        <n v="7" u="1"/>
        <n v="20" u="1"/>
        <n v="8" u="1"/>
        <n v="22" u="1"/>
        <n v="21" u="1"/>
      </sharedItems>
      <fieldGroup par="13"/>
    </cacheField>
    <cacheField name="cash_type" numFmtId="0">
      <sharedItems count="2">
        <s v="card"/>
        <s v="cash"/>
      </sharedItems>
    </cacheField>
    <cacheField name="card" numFmtId="0">
      <sharedItems count="44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s v="Cash Payment"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</sharedItems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Days (datetime)" numFmtId="0" databaseField="0">
      <fieldGroup base="3">
        <rangePr groupBy="days" startDate="2024-03-01T10:15:51" endDate="2024-07-31T21:55:17"/>
        <groupItems count="368">
          <s v="&lt;01-03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4"/>
        </groupItems>
      </fieldGroup>
    </cacheField>
    <cacheField name="Months (datetime)" numFmtId="0" databaseField="0">
      <fieldGroup base="3">
        <rangePr groupBy="months" startDate="2024-03-01T10:15:51" endDate="2024-07-31T21:55:17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4"/>
        </groupItems>
      </fieldGroup>
    </cacheField>
    <cacheField name="Days (date)" numFmtId="0" databaseField="0">
      <fieldGroup base="0">
        <rangePr groupBy="days" startDate="2024-03-01T00:00:00" endDate="2024-08-01T00:00:00"/>
        <groupItems count="368">
          <s v="&lt;01-03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8-2024"/>
        </groupItems>
      </fieldGroup>
    </cacheField>
    <cacheField name="Months (date)" numFmtId="0" databaseField="0">
      <fieldGroup base="0">
        <rangePr groupBy="months" startDate="2024-03-01T00:00:00" endDate="2024-08-01T00:00:00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8-2024"/>
        </groupItems>
      </fieldGroup>
    </cacheField>
    <cacheField name="Hour2" numFmtId="0" databaseField="0">
      <fieldGroup base="4">
        <discretePr count="20">
          <x v="6"/>
          <x v="7"/>
          <x v="4"/>
          <x v="5"/>
          <x v="0"/>
          <x v="1"/>
          <x v="1"/>
          <x v="1"/>
          <x v="2"/>
          <x v="2"/>
          <x v="2"/>
          <x v="0"/>
          <x v="1"/>
          <x v="2"/>
          <x v="0"/>
          <x v="0"/>
          <x v="3"/>
          <x v="0"/>
          <x v="3"/>
          <x v="3"/>
        </discretePr>
        <groupItems count="8">
          <s v="Group1"/>
          <s v="Group2"/>
          <s v="Group3"/>
          <s v="Group4"/>
          <s v="16-20"/>
          <s v="20-24 "/>
          <s v="7-12"/>
          <s v="12-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x v="0"/>
    <s v="March"/>
    <x v="0"/>
    <x v="0"/>
    <x v="0"/>
    <x v="0"/>
    <x v="0"/>
    <n v="38.700000000000003"/>
    <x v="0"/>
  </r>
  <r>
    <x v="0"/>
    <s v="March"/>
    <x v="0"/>
    <x v="1"/>
    <x v="1"/>
    <x v="0"/>
    <x v="1"/>
    <n v="38.700000000000003"/>
    <x v="1"/>
  </r>
  <r>
    <x v="0"/>
    <s v="March"/>
    <x v="0"/>
    <x v="2"/>
    <x v="1"/>
    <x v="0"/>
    <x v="1"/>
    <n v="38.700000000000003"/>
    <x v="1"/>
  </r>
  <r>
    <x v="0"/>
    <s v="March"/>
    <x v="0"/>
    <x v="3"/>
    <x v="1"/>
    <x v="0"/>
    <x v="2"/>
    <n v="28.9"/>
    <x v="2"/>
  </r>
  <r>
    <x v="0"/>
    <s v="March"/>
    <x v="0"/>
    <x v="4"/>
    <x v="1"/>
    <x v="0"/>
    <x v="3"/>
    <n v="38.700000000000003"/>
    <x v="0"/>
  </r>
  <r>
    <x v="0"/>
    <s v="March"/>
    <x v="0"/>
    <x v="5"/>
    <x v="1"/>
    <x v="0"/>
    <x v="4"/>
    <n v="33.799999999999997"/>
    <x v="3"/>
  </r>
  <r>
    <x v="0"/>
    <s v="March"/>
    <x v="0"/>
    <x v="6"/>
    <x v="2"/>
    <x v="0"/>
    <x v="5"/>
    <n v="38.700000000000003"/>
    <x v="1"/>
  </r>
  <r>
    <x v="0"/>
    <s v="March"/>
    <x v="0"/>
    <x v="7"/>
    <x v="2"/>
    <x v="0"/>
    <x v="6"/>
    <n v="33.799999999999997"/>
    <x v="3"/>
  </r>
  <r>
    <x v="0"/>
    <s v="March"/>
    <x v="0"/>
    <x v="8"/>
    <x v="2"/>
    <x v="0"/>
    <x v="7"/>
    <n v="38.700000000000003"/>
    <x v="4"/>
  </r>
  <r>
    <x v="0"/>
    <s v="March"/>
    <x v="0"/>
    <x v="9"/>
    <x v="2"/>
    <x v="0"/>
    <x v="7"/>
    <n v="33.799999999999997"/>
    <x v="3"/>
  </r>
  <r>
    <x v="0"/>
    <s v="March"/>
    <x v="0"/>
    <x v="10"/>
    <x v="2"/>
    <x v="0"/>
    <x v="8"/>
    <n v="33.799999999999997"/>
    <x v="3"/>
  </r>
  <r>
    <x v="1"/>
    <s v="March"/>
    <x v="1"/>
    <x v="11"/>
    <x v="0"/>
    <x v="0"/>
    <x v="9"/>
    <n v="28.9"/>
    <x v="2"/>
  </r>
  <r>
    <x v="1"/>
    <s v="March"/>
    <x v="1"/>
    <x v="12"/>
    <x v="0"/>
    <x v="1"/>
    <x v="10"/>
    <n v="40"/>
    <x v="0"/>
  </r>
  <r>
    <x v="1"/>
    <s v="March"/>
    <x v="1"/>
    <x v="13"/>
    <x v="0"/>
    <x v="0"/>
    <x v="11"/>
    <n v="33.799999999999997"/>
    <x v="3"/>
  </r>
  <r>
    <x v="1"/>
    <s v="March"/>
    <x v="1"/>
    <x v="14"/>
    <x v="0"/>
    <x v="0"/>
    <x v="12"/>
    <n v="33.799999999999997"/>
    <x v="3"/>
  </r>
  <r>
    <x v="1"/>
    <s v="March"/>
    <x v="1"/>
    <x v="15"/>
    <x v="1"/>
    <x v="0"/>
    <x v="13"/>
    <n v="28.9"/>
    <x v="2"/>
  </r>
  <r>
    <x v="1"/>
    <s v="March"/>
    <x v="1"/>
    <x v="16"/>
    <x v="2"/>
    <x v="0"/>
    <x v="14"/>
    <n v="33.799999999999997"/>
    <x v="3"/>
  </r>
  <r>
    <x v="1"/>
    <s v="March"/>
    <x v="1"/>
    <x v="17"/>
    <x v="2"/>
    <x v="0"/>
    <x v="3"/>
    <n v="28.9"/>
    <x v="2"/>
  </r>
  <r>
    <x v="2"/>
    <s v="March"/>
    <x v="2"/>
    <x v="18"/>
    <x v="0"/>
    <x v="1"/>
    <x v="10"/>
    <n v="40"/>
    <x v="0"/>
  </r>
  <r>
    <x v="2"/>
    <s v="March"/>
    <x v="2"/>
    <x v="19"/>
    <x v="0"/>
    <x v="0"/>
    <x v="15"/>
    <n v="38.700000000000003"/>
    <x v="0"/>
  </r>
  <r>
    <x v="2"/>
    <s v="March"/>
    <x v="2"/>
    <x v="20"/>
    <x v="0"/>
    <x v="0"/>
    <x v="16"/>
    <n v="28.9"/>
    <x v="5"/>
  </r>
  <r>
    <x v="2"/>
    <s v="March"/>
    <x v="2"/>
    <x v="21"/>
    <x v="1"/>
    <x v="0"/>
    <x v="12"/>
    <n v="28.9"/>
    <x v="2"/>
  </r>
  <r>
    <x v="2"/>
    <s v="March"/>
    <x v="2"/>
    <x v="22"/>
    <x v="1"/>
    <x v="0"/>
    <x v="17"/>
    <n v="38.700000000000003"/>
    <x v="1"/>
  </r>
  <r>
    <x v="2"/>
    <s v="March"/>
    <x v="2"/>
    <x v="23"/>
    <x v="2"/>
    <x v="0"/>
    <x v="18"/>
    <n v="38.700000000000003"/>
    <x v="4"/>
  </r>
  <r>
    <x v="2"/>
    <s v="March"/>
    <x v="2"/>
    <x v="24"/>
    <x v="2"/>
    <x v="0"/>
    <x v="19"/>
    <n v="28.9"/>
    <x v="5"/>
  </r>
  <r>
    <x v="2"/>
    <s v="March"/>
    <x v="2"/>
    <x v="25"/>
    <x v="2"/>
    <x v="0"/>
    <x v="20"/>
    <n v="33.799999999999997"/>
    <x v="3"/>
  </r>
  <r>
    <x v="2"/>
    <s v="March"/>
    <x v="2"/>
    <x v="26"/>
    <x v="2"/>
    <x v="0"/>
    <x v="20"/>
    <n v="33.799999999999997"/>
    <x v="3"/>
  </r>
  <r>
    <x v="2"/>
    <s v="March"/>
    <x v="2"/>
    <x v="27"/>
    <x v="2"/>
    <x v="0"/>
    <x v="20"/>
    <n v="38.700000000000003"/>
    <x v="1"/>
  </r>
  <r>
    <x v="3"/>
    <s v="March"/>
    <x v="3"/>
    <x v="28"/>
    <x v="0"/>
    <x v="0"/>
    <x v="0"/>
    <n v="38.700000000000003"/>
    <x v="0"/>
  </r>
  <r>
    <x v="3"/>
    <s v="March"/>
    <x v="3"/>
    <x v="29"/>
    <x v="0"/>
    <x v="0"/>
    <x v="21"/>
    <n v="38.700000000000003"/>
    <x v="0"/>
  </r>
  <r>
    <x v="3"/>
    <s v="March"/>
    <x v="3"/>
    <x v="30"/>
    <x v="0"/>
    <x v="0"/>
    <x v="12"/>
    <n v="33.799999999999997"/>
    <x v="3"/>
  </r>
  <r>
    <x v="3"/>
    <s v="March"/>
    <x v="3"/>
    <x v="31"/>
    <x v="1"/>
    <x v="0"/>
    <x v="22"/>
    <n v="24"/>
    <x v="6"/>
  </r>
  <r>
    <x v="4"/>
    <s v="March"/>
    <x v="4"/>
    <x v="32"/>
    <x v="0"/>
    <x v="0"/>
    <x v="0"/>
    <n v="38.700000000000003"/>
    <x v="0"/>
  </r>
  <r>
    <x v="4"/>
    <s v="March"/>
    <x v="4"/>
    <x v="33"/>
    <x v="1"/>
    <x v="0"/>
    <x v="23"/>
    <n v="38.700000000000003"/>
    <x v="0"/>
  </r>
  <r>
    <x v="4"/>
    <s v="March"/>
    <x v="4"/>
    <x v="34"/>
    <x v="2"/>
    <x v="0"/>
    <x v="24"/>
    <n v="38.700000000000003"/>
    <x v="0"/>
  </r>
  <r>
    <x v="4"/>
    <s v="March"/>
    <x v="4"/>
    <x v="35"/>
    <x v="2"/>
    <x v="0"/>
    <x v="25"/>
    <n v="38.700000000000003"/>
    <x v="1"/>
  </r>
  <r>
    <x v="4"/>
    <s v="March"/>
    <x v="4"/>
    <x v="36"/>
    <x v="2"/>
    <x v="0"/>
    <x v="26"/>
    <n v="38.700000000000003"/>
    <x v="4"/>
  </r>
  <r>
    <x v="4"/>
    <s v="March"/>
    <x v="4"/>
    <x v="37"/>
    <x v="2"/>
    <x v="0"/>
    <x v="27"/>
    <n v="38.700000000000003"/>
    <x v="1"/>
  </r>
  <r>
    <x v="4"/>
    <s v="March"/>
    <x v="4"/>
    <x v="38"/>
    <x v="2"/>
    <x v="0"/>
    <x v="8"/>
    <n v="38.700000000000003"/>
    <x v="1"/>
  </r>
  <r>
    <x v="4"/>
    <s v="March"/>
    <x v="4"/>
    <x v="39"/>
    <x v="2"/>
    <x v="0"/>
    <x v="28"/>
    <n v="28.9"/>
    <x v="5"/>
  </r>
  <r>
    <x v="4"/>
    <s v="March"/>
    <x v="4"/>
    <x v="40"/>
    <x v="2"/>
    <x v="0"/>
    <x v="28"/>
    <n v="38.700000000000003"/>
    <x v="1"/>
  </r>
  <r>
    <x v="5"/>
    <s v="March"/>
    <x v="5"/>
    <x v="41"/>
    <x v="1"/>
    <x v="1"/>
    <x v="10"/>
    <n v="35"/>
    <x v="3"/>
  </r>
  <r>
    <x v="5"/>
    <s v="March"/>
    <x v="5"/>
    <x v="42"/>
    <x v="1"/>
    <x v="0"/>
    <x v="12"/>
    <n v="28.9"/>
    <x v="2"/>
  </r>
  <r>
    <x v="5"/>
    <s v="March"/>
    <x v="5"/>
    <x v="43"/>
    <x v="1"/>
    <x v="0"/>
    <x v="12"/>
    <n v="28.9"/>
    <x v="5"/>
  </r>
  <r>
    <x v="5"/>
    <s v="March"/>
    <x v="5"/>
    <x v="44"/>
    <x v="1"/>
    <x v="0"/>
    <x v="29"/>
    <n v="38.700000000000003"/>
    <x v="7"/>
  </r>
  <r>
    <x v="5"/>
    <s v="March"/>
    <x v="5"/>
    <x v="45"/>
    <x v="1"/>
    <x v="0"/>
    <x v="29"/>
    <n v="38.700000000000003"/>
    <x v="7"/>
  </r>
  <r>
    <x v="6"/>
    <s v="March"/>
    <x v="6"/>
    <x v="46"/>
    <x v="0"/>
    <x v="1"/>
    <x v="10"/>
    <n v="40"/>
    <x v="0"/>
  </r>
  <r>
    <x v="6"/>
    <s v="March"/>
    <x v="6"/>
    <x v="47"/>
    <x v="0"/>
    <x v="0"/>
    <x v="30"/>
    <n v="38.700000000000003"/>
    <x v="1"/>
  </r>
  <r>
    <x v="6"/>
    <s v="March"/>
    <x v="6"/>
    <x v="48"/>
    <x v="0"/>
    <x v="0"/>
    <x v="31"/>
    <n v="38.700000000000003"/>
    <x v="0"/>
  </r>
  <r>
    <x v="6"/>
    <s v="March"/>
    <x v="6"/>
    <x v="49"/>
    <x v="0"/>
    <x v="1"/>
    <x v="10"/>
    <n v="40"/>
    <x v="0"/>
  </r>
  <r>
    <x v="6"/>
    <s v="March"/>
    <x v="6"/>
    <x v="50"/>
    <x v="1"/>
    <x v="0"/>
    <x v="32"/>
    <n v="28.9"/>
    <x v="2"/>
  </r>
  <r>
    <x v="6"/>
    <s v="March"/>
    <x v="6"/>
    <x v="51"/>
    <x v="1"/>
    <x v="0"/>
    <x v="33"/>
    <n v="33.799999999999997"/>
    <x v="3"/>
  </r>
  <r>
    <x v="7"/>
    <s v="March"/>
    <x v="0"/>
    <x v="52"/>
    <x v="0"/>
    <x v="0"/>
    <x v="12"/>
    <n v="28.9"/>
    <x v="5"/>
  </r>
  <r>
    <x v="7"/>
    <s v="March"/>
    <x v="0"/>
    <x v="53"/>
    <x v="1"/>
    <x v="0"/>
    <x v="34"/>
    <n v="38.700000000000003"/>
    <x v="7"/>
  </r>
  <r>
    <x v="7"/>
    <s v="March"/>
    <x v="0"/>
    <x v="54"/>
    <x v="1"/>
    <x v="0"/>
    <x v="35"/>
    <n v="28.9"/>
    <x v="2"/>
  </r>
  <r>
    <x v="7"/>
    <s v="March"/>
    <x v="0"/>
    <x v="55"/>
    <x v="1"/>
    <x v="0"/>
    <x v="12"/>
    <n v="28.9"/>
    <x v="2"/>
  </r>
  <r>
    <x v="7"/>
    <s v="March"/>
    <x v="0"/>
    <x v="56"/>
    <x v="1"/>
    <x v="0"/>
    <x v="33"/>
    <n v="28.9"/>
    <x v="2"/>
  </r>
  <r>
    <x v="7"/>
    <s v="March"/>
    <x v="0"/>
    <x v="57"/>
    <x v="1"/>
    <x v="0"/>
    <x v="12"/>
    <n v="33.799999999999997"/>
    <x v="3"/>
  </r>
  <r>
    <x v="7"/>
    <s v="March"/>
    <x v="0"/>
    <x v="58"/>
    <x v="2"/>
    <x v="0"/>
    <x v="36"/>
    <n v="38.700000000000003"/>
    <x v="0"/>
  </r>
  <r>
    <x v="7"/>
    <s v="March"/>
    <x v="0"/>
    <x v="59"/>
    <x v="2"/>
    <x v="0"/>
    <x v="37"/>
    <n v="38.700000000000003"/>
    <x v="0"/>
  </r>
  <r>
    <x v="8"/>
    <s v="March"/>
    <x v="1"/>
    <x v="60"/>
    <x v="0"/>
    <x v="1"/>
    <x v="10"/>
    <n v="40"/>
    <x v="1"/>
  </r>
  <r>
    <x v="8"/>
    <s v="March"/>
    <x v="1"/>
    <x v="61"/>
    <x v="1"/>
    <x v="0"/>
    <x v="38"/>
    <n v="24"/>
    <x v="6"/>
  </r>
  <r>
    <x v="8"/>
    <s v="March"/>
    <x v="1"/>
    <x v="62"/>
    <x v="1"/>
    <x v="0"/>
    <x v="39"/>
    <n v="28.9"/>
    <x v="2"/>
  </r>
  <r>
    <x v="8"/>
    <s v="March"/>
    <x v="1"/>
    <x v="63"/>
    <x v="1"/>
    <x v="0"/>
    <x v="12"/>
    <n v="38.700000000000003"/>
    <x v="7"/>
  </r>
  <r>
    <x v="8"/>
    <s v="March"/>
    <x v="1"/>
    <x v="64"/>
    <x v="1"/>
    <x v="0"/>
    <x v="40"/>
    <n v="28.9"/>
    <x v="2"/>
  </r>
  <r>
    <x v="8"/>
    <s v="March"/>
    <x v="1"/>
    <x v="65"/>
    <x v="1"/>
    <x v="0"/>
    <x v="40"/>
    <n v="28.9"/>
    <x v="2"/>
  </r>
  <r>
    <x v="8"/>
    <s v="March"/>
    <x v="1"/>
    <x v="66"/>
    <x v="1"/>
    <x v="0"/>
    <x v="41"/>
    <n v="38.700000000000003"/>
    <x v="0"/>
  </r>
  <r>
    <x v="8"/>
    <s v="March"/>
    <x v="1"/>
    <x v="67"/>
    <x v="1"/>
    <x v="0"/>
    <x v="42"/>
    <n v="33.799999999999997"/>
    <x v="3"/>
  </r>
  <r>
    <x v="8"/>
    <s v="March"/>
    <x v="1"/>
    <x v="68"/>
    <x v="1"/>
    <x v="0"/>
    <x v="43"/>
    <n v="28.9"/>
    <x v="5"/>
  </r>
  <r>
    <x v="8"/>
    <s v="March"/>
    <x v="1"/>
    <x v="69"/>
    <x v="1"/>
    <x v="0"/>
    <x v="43"/>
    <n v="38.700000000000003"/>
    <x v="7"/>
  </r>
  <r>
    <x v="8"/>
    <s v="March"/>
    <x v="1"/>
    <x v="70"/>
    <x v="1"/>
    <x v="0"/>
    <x v="8"/>
    <n v="33.799999999999997"/>
    <x v="3"/>
  </r>
  <r>
    <x v="8"/>
    <s v="March"/>
    <x v="1"/>
    <x v="71"/>
    <x v="1"/>
    <x v="0"/>
    <x v="44"/>
    <n v="38.700000000000003"/>
    <x v="1"/>
  </r>
  <r>
    <x v="8"/>
    <s v="March"/>
    <x v="1"/>
    <x v="72"/>
    <x v="2"/>
    <x v="0"/>
    <x v="8"/>
    <n v="38.700000000000003"/>
    <x v="7"/>
  </r>
  <r>
    <x v="8"/>
    <s v="March"/>
    <x v="1"/>
    <x v="73"/>
    <x v="2"/>
    <x v="0"/>
    <x v="8"/>
    <n v="38.700000000000003"/>
    <x v="1"/>
  </r>
  <r>
    <x v="9"/>
    <s v="March"/>
    <x v="2"/>
    <x v="74"/>
    <x v="0"/>
    <x v="1"/>
    <x v="10"/>
    <n v="30"/>
    <x v="2"/>
  </r>
  <r>
    <x v="9"/>
    <s v="March"/>
    <x v="2"/>
    <x v="75"/>
    <x v="0"/>
    <x v="1"/>
    <x v="10"/>
    <n v="35"/>
    <x v="3"/>
  </r>
  <r>
    <x v="9"/>
    <s v="March"/>
    <x v="2"/>
    <x v="76"/>
    <x v="0"/>
    <x v="1"/>
    <x v="10"/>
    <n v="40"/>
    <x v="0"/>
  </r>
  <r>
    <x v="9"/>
    <s v="March"/>
    <x v="2"/>
    <x v="77"/>
    <x v="0"/>
    <x v="0"/>
    <x v="45"/>
    <n v="24"/>
    <x v="6"/>
  </r>
  <r>
    <x v="9"/>
    <s v="March"/>
    <x v="2"/>
    <x v="78"/>
    <x v="2"/>
    <x v="1"/>
    <x v="10"/>
    <n v="35"/>
    <x v="3"/>
  </r>
  <r>
    <x v="9"/>
    <s v="March"/>
    <x v="2"/>
    <x v="79"/>
    <x v="2"/>
    <x v="0"/>
    <x v="46"/>
    <n v="38.700000000000003"/>
    <x v="0"/>
  </r>
  <r>
    <x v="9"/>
    <s v="March"/>
    <x v="2"/>
    <x v="80"/>
    <x v="2"/>
    <x v="0"/>
    <x v="46"/>
    <n v="28.9"/>
    <x v="5"/>
  </r>
  <r>
    <x v="10"/>
    <s v="March"/>
    <x v="3"/>
    <x v="81"/>
    <x v="0"/>
    <x v="1"/>
    <x v="10"/>
    <n v="40"/>
    <x v="0"/>
  </r>
  <r>
    <x v="10"/>
    <s v="March"/>
    <x v="3"/>
    <x v="82"/>
    <x v="0"/>
    <x v="1"/>
    <x v="10"/>
    <n v="40"/>
    <x v="7"/>
  </r>
  <r>
    <x v="10"/>
    <s v="March"/>
    <x v="3"/>
    <x v="83"/>
    <x v="0"/>
    <x v="1"/>
    <x v="10"/>
    <n v="30"/>
    <x v="5"/>
  </r>
  <r>
    <x v="10"/>
    <s v="March"/>
    <x v="3"/>
    <x v="84"/>
    <x v="0"/>
    <x v="1"/>
    <x v="10"/>
    <n v="30"/>
    <x v="2"/>
  </r>
  <r>
    <x v="10"/>
    <s v="March"/>
    <x v="3"/>
    <x v="85"/>
    <x v="0"/>
    <x v="0"/>
    <x v="35"/>
    <n v="38.700000000000003"/>
    <x v="7"/>
  </r>
  <r>
    <x v="10"/>
    <s v="March"/>
    <x v="3"/>
    <x v="86"/>
    <x v="2"/>
    <x v="0"/>
    <x v="47"/>
    <n v="28.9"/>
    <x v="2"/>
  </r>
  <r>
    <x v="10"/>
    <s v="March"/>
    <x v="3"/>
    <x v="87"/>
    <x v="2"/>
    <x v="0"/>
    <x v="47"/>
    <n v="38.700000000000003"/>
    <x v="0"/>
  </r>
  <r>
    <x v="10"/>
    <s v="March"/>
    <x v="3"/>
    <x v="88"/>
    <x v="2"/>
    <x v="0"/>
    <x v="48"/>
    <n v="28.9"/>
    <x v="5"/>
  </r>
  <r>
    <x v="11"/>
    <s v="March"/>
    <x v="4"/>
    <x v="89"/>
    <x v="0"/>
    <x v="1"/>
    <x v="10"/>
    <n v="40"/>
    <x v="0"/>
  </r>
  <r>
    <x v="11"/>
    <s v="March"/>
    <x v="4"/>
    <x v="90"/>
    <x v="0"/>
    <x v="0"/>
    <x v="33"/>
    <n v="28.9"/>
    <x v="2"/>
  </r>
  <r>
    <x v="11"/>
    <s v="March"/>
    <x v="4"/>
    <x v="91"/>
    <x v="0"/>
    <x v="0"/>
    <x v="33"/>
    <n v="28.9"/>
    <x v="5"/>
  </r>
  <r>
    <x v="11"/>
    <s v="March"/>
    <x v="4"/>
    <x v="92"/>
    <x v="0"/>
    <x v="0"/>
    <x v="49"/>
    <n v="38.700000000000003"/>
    <x v="1"/>
  </r>
  <r>
    <x v="11"/>
    <s v="March"/>
    <x v="4"/>
    <x v="93"/>
    <x v="1"/>
    <x v="0"/>
    <x v="3"/>
    <n v="33.799999999999997"/>
    <x v="3"/>
  </r>
  <r>
    <x v="11"/>
    <s v="March"/>
    <x v="4"/>
    <x v="94"/>
    <x v="1"/>
    <x v="0"/>
    <x v="3"/>
    <n v="28.9"/>
    <x v="2"/>
  </r>
  <r>
    <x v="11"/>
    <s v="March"/>
    <x v="4"/>
    <x v="95"/>
    <x v="2"/>
    <x v="0"/>
    <x v="50"/>
    <n v="28.9"/>
    <x v="2"/>
  </r>
  <r>
    <x v="12"/>
    <s v="March"/>
    <x v="5"/>
    <x v="96"/>
    <x v="0"/>
    <x v="0"/>
    <x v="48"/>
    <n v="38.700000000000003"/>
    <x v="1"/>
  </r>
  <r>
    <x v="12"/>
    <s v="March"/>
    <x v="5"/>
    <x v="97"/>
    <x v="0"/>
    <x v="0"/>
    <x v="3"/>
    <n v="28.9"/>
    <x v="2"/>
  </r>
  <r>
    <x v="12"/>
    <s v="March"/>
    <x v="5"/>
    <x v="98"/>
    <x v="1"/>
    <x v="0"/>
    <x v="51"/>
    <n v="28.9"/>
    <x v="2"/>
  </r>
  <r>
    <x v="12"/>
    <s v="March"/>
    <x v="5"/>
    <x v="99"/>
    <x v="1"/>
    <x v="0"/>
    <x v="51"/>
    <n v="28.9"/>
    <x v="2"/>
  </r>
  <r>
    <x v="12"/>
    <s v="March"/>
    <x v="5"/>
    <x v="100"/>
    <x v="1"/>
    <x v="1"/>
    <x v="10"/>
    <n v="25"/>
    <x v="6"/>
  </r>
  <r>
    <x v="12"/>
    <s v="March"/>
    <x v="5"/>
    <x v="101"/>
    <x v="1"/>
    <x v="0"/>
    <x v="52"/>
    <n v="33.799999999999997"/>
    <x v="3"/>
  </r>
  <r>
    <x v="12"/>
    <s v="March"/>
    <x v="5"/>
    <x v="102"/>
    <x v="1"/>
    <x v="0"/>
    <x v="53"/>
    <n v="24"/>
    <x v="6"/>
  </r>
  <r>
    <x v="12"/>
    <s v="March"/>
    <x v="5"/>
    <x v="103"/>
    <x v="1"/>
    <x v="0"/>
    <x v="53"/>
    <n v="24"/>
    <x v="6"/>
  </r>
  <r>
    <x v="12"/>
    <s v="March"/>
    <x v="5"/>
    <x v="104"/>
    <x v="2"/>
    <x v="0"/>
    <x v="54"/>
    <n v="24"/>
    <x v="6"/>
  </r>
  <r>
    <x v="13"/>
    <s v="March"/>
    <x v="6"/>
    <x v="105"/>
    <x v="0"/>
    <x v="1"/>
    <x v="10"/>
    <n v="40"/>
    <x v="0"/>
  </r>
  <r>
    <x v="13"/>
    <s v="March"/>
    <x v="6"/>
    <x v="106"/>
    <x v="0"/>
    <x v="0"/>
    <x v="55"/>
    <n v="38.700000000000003"/>
    <x v="0"/>
  </r>
  <r>
    <x v="13"/>
    <s v="March"/>
    <x v="6"/>
    <x v="107"/>
    <x v="0"/>
    <x v="0"/>
    <x v="55"/>
    <n v="38.700000000000003"/>
    <x v="1"/>
  </r>
  <r>
    <x v="13"/>
    <s v="March"/>
    <x v="6"/>
    <x v="108"/>
    <x v="1"/>
    <x v="0"/>
    <x v="12"/>
    <n v="28.9"/>
    <x v="5"/>
  </r>
  <r>
    <x v="13"/>
    <s v="March"/>
    <x v="6"/>
    <x v="109"/>
    <x v="1"/>
    <x v="0"/>
    <x v="12"/>
    <n v="28.9"/>
    <x v="2"/>
  </r>
  <r>
    <x v="13"/>
    <s v="March"/>
    <x v="6"/>
    <x v="110"/>
    <x v="1"/>
    <x v="0"/>
    <x v="56"/>
    <n v="33.799999999999997"/>
    <x v="3"/>
  </r>
  <r>
    <x v="13"/>
    <s v="March"/>
    <x v="6"/>
    <x v="111"/>
    <x v="1"/>
    <x v="0"/>
    <x v="57"/>
    <n v="24"/>
    <x v="6"/>
  </r>
  <r>
    <x v="13"/>
    <s v="March"/>
    <x v="6"/>
    <x v="112"/>
    <x v="1"/>
    <x v="0"/>
    <x v="58"/>
    <n v="38.700000000000003"/>
    <x v="0"/>
  </r>
  <r>
    <x v="13"/>
    <s v="March"/>
    <x v="6"/>
    <x v="113"/>
    <x v="2"/>
    <x v="0"/>
    <x v="59"/>
    <n v="33.799999999999997"/>
    <x v="3"/>
  </r>
  <r>
    <x v="13"/>
    <s v="March"/>
    <x v="6"/>
    <x v="114"/>
    <x v="2"/>
    <x v="0"/>
    <x v="50"/>
    <n v="24"/>
    <x v="6"/>
  </r>
  <r>
    <x v="13"/>
    <s v="March"/>
    <x v="6"/>
    <x v="115"/>
    <x v="2"/>
    <x v="0"/>
    <x v="19"/>
    <n v="38.700000000000003"/>
    <x v="1"/>
  </r>
  <r>
    <x v="13"/>
    <s v="March"/>
    <x v="6"/>
    <x v="116"/>
    <x v="2"/>
    <x v="0"/>
    <x v="12"/>
    <n v="28.9"/>
    <x v="5"/>
  </r>
  <r>
    <x v="14"/>
    <s v="March"/>
    <x v="0"/>
    <x v="117"/>
    <x v="0"/>
    <x v="1"/>
    <x v="10"/>
    <n v="40"/>
    <x v="0"/>
  </r>
  <r>
    <x v="14"/>
    <s v="March"/>
    <x v="0"/>
    <x v="118"/>
    <x v="0"/>
    <x v="0"/>
    <x v="60"/>
    <n v="38.700000000000003"/>
    <x v="1"/>
  </r>
  <r>
    <x v="14"/>
    <s v="March"/>
    <x v="0"/>
    <x v="119"/>
    <x v="2"/>
    <x v="0"/>
    <x v="12"/>
    <n v="28.9"/>
    <x v="2"/>
  </r>
  <r>
    <x v="15"/>
    <s v="March"/>
    <x v="1"/>
    <x v="120"/>
    <x v="1"/>
    <x v="0"/>
    <x v="61"/>
    <n v="33.799999999999997"/>
    <x v="3"/>
  </r>
  <r>
    <x v="15"/>
    <s v="March"/>
    <x v="1"/>
    <x v="121"/>
    <x v="1"/>
    <x v="0"/>
    <x v="61"/>
    <n v="28.9"/>
    <x v="2"/>
  </r>
  <r>
    <x v="15"/>
    <s v="March"/>
    <x v="1"/>
    <x v="122"/>
    <x v="1"/>
    <x v="0"/>
    <x v="8"/>
    <n v="28.9"/>
    <x v="5"/>
  </r>
  <r>
    <x v="15"/>
    <s v="March"/>
    <x v="1"/>
    <x v="123"/>
    <x v="2"/>
    <x v="0"/>
    <x v="8"/>
    <n v="28.9"/>
    <x v="5"/>
  </r>
  <r>
    <x v="15"/>
    <s v="March"/>
    <x v="1"/>
    <x v="124"/>
    <x v="2"/>
    <x v="0"/>
    <x v="12"/>
    <n v="28.9"/>
    <x v="5"/>
  </r>
  <r>
    <x v="15"/>
    <s v="March"/>
    <x v="1"/>
    <x v="125"/>
    <x v="2"/>
    <x v="0"/>
    <x v="62"/>
    <n v="33.799999999999997"/>
    <x v="3"/>
  </r>
  <r>
    <x v="16"/>
    <s v="March"/>
    <x v="2"/>
    <x v="126"/>
    <x v="0"/>
    <x v="1"/>
    <x v="10"/>
    <n v="40"/>
    <x v="0"/>
  </r>
  <r>
    <x v="16"/>
    <s v="March"/>
    <x v="2"/>
    <x v="127"/>
    <x v="1"/>
    <x v="0"/>
    <x v="63"/>
    <n v="28.9"/>
    <x v="5"/>
  </r>
  <r>
    <x v="17"/>
    <s v="March"/>
    <x v="3"/>
    <x v="128"/>
    <x v="0"/>
    <x v="0"/>
    <x v="64"/>
    <n v="28.9"/>
    <x v="5"/>
  </r>
  <r>
    <x v="17"/>
    <s v="March"/>
    <x v="3"/>
    <x v="129"/>
    <x v="1"/>
    <x v="0"/>
    <x v="2"/>
    <n v="28.9"/>
    <x v="2"/>
  </r>
  <r>
    <x v="17"/>
    <s v="March"/>
    <x v="3"/>
    <x v="130"/>
    <x v="1"/>
    <x v="0"/>
    <x v="2"/>
    <n v="28.9"/>
    <x v="2"/>
  </r>
  <r>
    <x v="17"/>
    <s v="March"/>
    <x v="3"/>
    <x v="131"/>
    <x v="1"/>
    <x v="0"/>
    <x v="2"/>
    <n v="28.9"/>
    <x v="2"/>
  </r>
  <r>
    <x v="18"/>
    <s v="March"/>
    <x v="4"/>
    <x v="132"/>
    <x v="0"/>
    <x v="1"/>
    <x v="10"/>
    <n v="30"/>
    <x v="5"/>
  </r>
  <r>
    <x v="18"/>
    <s v="March"/>
    <x v="4"/>
    <x v="133"/>
    <x v="1"/>
    <x v="0"/>
    <x v="65"/>
    <n v="38.700000000000003"/>
    <x v="0"/>
  </r>
  <r>
    <x v="18"/>
    <s v="March"/>
    <x v="4"/>
    <x v="134"/>
    <x v="1"/>
    <x v="0"/>
    <x v="65"/>
    <n v="38.700000000000003"/>
    <x v="0"/>
  </r>
  <r>
    <x v="18"/>
    <s v="March"/>
    <x v="4"/>
    <x v="135"/>
    <x v="1"/>
    <x v="0"/>
    <x v="49"/>
    <n v="38.700000000000003"/>
    <x v="1"/>
  </r>
  <r>
    <x v="18"/>
    <s v="March"/>
    <x v="4"/>
    <x v="136"/>
    <x v="2"/>
    <x v="0"/>
    <x v="66"/>
    <n v="33.799999999999997"/>
    <x v="3"/>
  </r>
  <r>
    <x v="18"/>
    <s v="March"/>
    <x v="4"/>
    <x v="137"/>
    <x v="2"/>
    <x v="1"/>
    <x v="10"/>
    <n v="40"/>
    <x v="1"/>
  </r>
  <r>
    <x v="19"/>
    <s v="March"/>
    <x v="5"/>
    <x v="138"/>
    <x v="0"/>
    <x v="0"/>
    <x v="12"/>
    <n v="28.9"/>
    <x v="5"/>
  </r>
  <r>
    <x v="19"/>
    <s v="March"/>
    <x v="5"/>
    <x v="139"/>
    <x v="1"/>
    <x v="1"/>
    <x v="10"/>
    <n v="40"/>
    <x v="0"/>
  </r>
  <r>
    <x v="19"/>
    <s v="March"/>
    <x v="5"/>
    <x v="140"/>
    <x v="1"/>
    <x v="0"/>
    <x v="49"/>
    <n v="28.9"/>
    <x v="5"/>
  </r>
  <r>
    <x v="19"/>
    <s v="March"/>
    <x v="5"/>
    <x v="141"/>
    <x v="1"/>
    <x v="0"/>
    <x v="67"/>
    <n v="38.700000000000003"/>
    <x v="7"/>
  </r>
  <r>
    <x v="19"/>
    <s v="March"/>
    <x v="5"/>
    <x v="142"/>
    <x v="2"/>
    <x v="0"/>
    <x v="50"/>
    <n v="38.700000000000003"/>
    <x v="4"/>
  </r>
  <r>
    <x v="19"/>
    <s v="March"/>
    <x v="5"/>
    <x v="143"/>
    <x v="2"/>
    <x v="0"/>
    <x v="68"/>
    <n v="38.700000000000003"/>
    <x v="0"/>
  </r>
  <r>
    <x v="20"/>
    <s v="March"/>
    <x v="6"/>
    <x v="144"/>
    <x v="0"/>
    <x v="1"/>
    <x v="10"/>
    <n v="40"/>
    <x v="7"/>
  </r>
  <r>
    <x v="20"/>
    <s v="March"/>
    <x v="6"/>
    <x v="145"/>
    <x v="1"/>
    <x v="0"/>
    <x v="12"/>
    <n v="28.9"/>
    <x v="5"/>
  </r>
  <r>
    <x v="20"/>
    <s v="March"/>
    <x v="6"/>
    <x v="146"/>
    <x v="1"/>
    <x v="0"/>
    <x v="12"/>
    <n v="38.700000000000003"/>
    <x v="7"/>
  </r>
  <r>
    <x v="20"/>
    <s v="March"/>
    <x v="6"/>
    <x v="147"/>
    <x v="2"/>
    <x v="1"/>
    <x v="10"/>
    <n v="30"/>
    <x v="2"/>
  </r>
  <r>
    <x v="20"/>
    <s v="March"/>
    <x v="6"/>
    <x v="148"/>
    <x v="2"/>
    <x v="0"/>
    <x v="12"/>
    <n v="28.9"/>
    <x v="5"/>
  </r>
  <r>
    <x v="20"/>
    <s v="March"/>
    <x v="6"/>
    <x v="149"/>
    <x v="2"/>
    <x v="0"/>
    <x v="69"/>
    <n v="38.700000000000003"/>
    <x v="0"/>
  </r>
  <r>
    <x v="21"/>
    <s v="March"/>
    <x v="0"/>
    <x v="150"/>
    <x v="0"/>
    <x v="0"/>
    <x v="70"/>
    <n v="33.799999999999997"/>
    <x v="3"/>
  </r>
  <r>
    <x v="21"/>
    <s v="March"/>
    <x v="0"/>
    <x v="151"/>
    <x v="1"/>
    <x v="0"/>
    <x v="71"/>
    <n v="33.799999999999997"/>
    <x v="3"/>
  </r>
  <r>
    <x v="21"/>
    <s v="March"/>
    <x v="0"/>
    <x v="152"/>
    <x v="2"/>
    <x v="1"/>
    <x v="10"/>
    <n v="40"/>
    <x v="7"/>
  </r>
  <r>
    <x v="21"/>
    <s v="March"/>
    <x v="0"/>
    <x v="153"/>
    <x v="2"/>
    <x v="0"/>
    <x v="12"/>
    <n v="28.9"/>
    <x v="2"/>
  </r>
  <r>
    <x v="21"/>
    <s v="March"/>
    <x v="0"/>
    <x v="154"/>
    <x v="2"/>
    <x v="0"/>
    <x v="12"/>
    <n v="24"/>
    <x v="6"/>
  </r>
  <r>
    <x v="21"/>
    <s v="March"/>
    <x v="0"/>
    <x v="155"/>
    <x v="2"/>
    <x v="0"/>
    <x v="50"/>
    <n v="28.9"/>
    <x v="2"/>
  </r>
  <r>
    <x v="22"/>
    <s v="March"/>
    <x v="1"/>
    <x v="156"/>
    <x v="0"/>
    <x v="0"/>
    <x v="72"/>
    <n v="38.700000000000003"/>
    <x v="0"/>
  </r>
  <r>
    <x v="22"/>
    <s v="March"/>
    <x v="1"/>
    <x v="157"/>
    <x v="0"/>
    <x v="0"/>
    <x v="73"/>
    <n v="33.799999999999997"/>
    <x v="3"/>
  </r>
  <r>
    <x v="22"/>
    <s v="March"/>
    <x v="1"/>
    <x v="158"/>
    <x v="1"/>
    <x v="0"/>
    <x v="74"/>
    <n v="38.700000000000003"/>
    <x v="7"/>
  </r>
  <r>
    <x v="22"/>
    <s v="March"/>
    <x v="1"/>
    <x v="159"/>
    <x v="1"/>
    <x v="0"/>
    <x v="74"/>
    <n v="38.700000000000003"/>
    <x v="4"/>
  </r>
  <r>
    <x v="22"/>
    <s v="March"/>
    <x v="1"/>
    <x v="160"/>
    <x v="1"/>
    <x v="0"/>
    <x v="75"/>
    <n v="33.799999999999997"/>
    <x v="3"/>
  </r>
  <r>
    <x v="22"/>
    <s v="March"/>
    <x v="1"/>
    <x v="161"/>
    <x v="1"/>
    <x v="0"/>
    <x v="76"/>
    <n v="38.700000000000003"/>
    <x v="0"/>
  </r>
  <r>
    <x v="22"/>
    <s v="March"/>
    <x v="1"/>
    <x v="162"/>
    <x v="1"/>
    <x v="0"/>
    <x v="76"/>
    <n v="33.799999999999997"/>
    <x v="3"/>
  </r>
  <r>
    <x v="22"/>
    <s v="March"/>
    <x v="1"/>
    <x v="163"/>
    <x v="2"/>
    <x v="0"/>
    <x v="8"/>
    <n v="28.9"/>
    <x v="5"/>
  </r>
  <r>
    <x v="23"/>
    <s v="March"/>
    <x v="2"/>
    <x v="164"/>
    <x v="0"/>
    <x v="1"/>
    <x v="10"/>
    <n v="40"/>
    <x v="0"/>
  </r>
  <r>
    <x v="23"/>
    <s v="March"/>
    <x v="2"/>
    <x v="165"/>
    <x v="2"/>
    <x v="0"/>
    <x v="77"/>
    <n v="38.700000000000003"/>
    <x v="0"/>
  </r>
  <r>
    <x v="24"/>
    <s v="March"/>
    <x v="3"/>
    <x v="166"/>
    <x v="0"/>
    <x v="0"/>
    <x v="8"/>
    <n v="38.700000000000003"/>
    <x v="0"/>
  </r>
  <r>
    <x v="24"/>
    <s v="March"/>
    <x v="3"/>
    <x v="167"/>
    <x v="0"/>
    <x v="1"/>
    <x v="10"/>
    <n v="35"/>
    <x v="3"/>
  </r>
  <r>
    <x v="24"/>
    <s v="March"/>
    <x v="3"/>
    <x v="168"/>
    <x v="1"/>
    <x v="0"/>
    <x v="78"/>
    <n v="38.700000000000003"/>
    <x v="0"/>
  </r>
  <r>
    <x v="24"/>
    <s v="March"/>
    <x v="3"/>
    <x v="169"/>
    <x v="1"/>
    <x v="0"/>
    <x v="17"/>
    <n v="38.700000000000003"/>
    <x v="0"/>
  </r>
  <r>
    <x v="24"/>
    <s v="March"/>
    <x v="3"/>
    <x v="170"/>
    <x v="2"/>
    <x v="0"/>
    <x v="24"/>
    <n v="33.799999999999997"/>
    <x v="3"/>
  </r>
  <r>
    <x v="24"/>
    <s v="March"/>
    <x v="3"/>
    <x v="171"/>
    <x v="2"/>
    <x v="0"/>
    <x v="79"/>
    <n v="38.700000000000003"/>
    <x v="7"/>
  </r>
  <r>
    <x v="25"/>
    <s v="March"/>
    <x v="4"/>
    <x v="172"/>
    <x v="0"/>
    <x v="0"/>
    <x v="55"/>
    <n v="38.700000000000003"/>
    <x v="4"/>
  </r>
  <r>
    <x v="25"/>
    <s v="March"/>
    <x v="4"/>
    <x v="173"/>
    <x v="0"/>
    <x v="0"/>
    <x v="55"/>
    <n v="38.700000000000003"/>
    <x v="0"/>
  </r>
  <r>
    <x v="25"/>
    <s v="March"/>
    <x v="4"/>
    <x v="174"/>
    <x v="0"/>
    <x v="0"/>
    <x v="80"/>
    <n v="38.700000000000003"/>
    <x v="0"/>
  </r>
  <r>
    <x v="25"/>
    <s v="March"/>
    <x v="4"/>
    <x v="175"/>
    <x v="0"/>
    <x v="0"/>
    <x v="8"/>
    <n v="28.9"/>
    <x v="5"/>
  </r>
  <r>
    <x v="25"/>
    <s v="March"/>
    <x v="4"/>
    <x v="176"/>
    <x v="1"/>
    <x v="0"/>
    <x v="2"/>
    <n v="28.9"/>
    <x v="2"/>
  </r>
  <r>
    <x v="25"/>
    <s v="March"/>
    <x v="4"/>
    <x v="177"/>
    <x v="1"/>
    <x v="0"/>
    <x v="32"/>
    <n v="28.9"/>
    <x v="5"/>
  </r>
  <r>
    <x v="25"/>
    <s v="March"/>
    <x v="4"/>
    <x v="178"/>
    <x v="1"/>
    <x v="0"/>
    <x v="59"/>
    <n v="28.9"/>
    <x v="5"/>
  </r>
  <r>
    <x v="25"/>
    <s v="March"/>
    <x v="4"/>
    <x v="179"/>
    <x v="1"/>
    <x v="0"/>
    <x v="50"/>
    <n v="28.9"/>
    <x v="2"/>
  </r>
  <r>
    <x v="25"/>
    <s v="March"/>
    <x v="4"/>
    <x v="180"/>
    <x v="1"/>
    <x v="0"/>
    <x v="81"/>
    <n v="38.700000000000003"/>
    <x v="0"/>
  </r>
  <r>
    <x v="25"/>
    <s v="March"/>
    <x v="4"/>
    <x v="181"/>
    <x v="2"/>
    <x v="0"/>
    <x v="24"/>
    <n v="38.700000000000003"/>
    <x v="0"/>
  </r>
  <r>
    <x v="25"/>
    <s v="March"/>
    <x v="4"/>
    <x v="182"/>
    <x v="2"/>
    <x v="0"/>
    <x v="8"/>
    <n v="38.700000000000003"/>
    <x v="1"/>
  </r>
  <r>
    <x v="26"/>
    <s v="March"/>
    <x v="5"/>
    <x v="183"/>
    <x v="0"/>
    <x v="0"/>
    <x v="2"/>
    <n v="28.9"/>
    <x v="5"/>
  </r>
  <r>
    <x v="26"/>
    <s v="March"/>
    <x v="5"/>
    <x v="184"/>
    <x v="0"/>
    <x v="0"/>
    <x v="2"/>
    <n v="33.799999999999997"/>
    <x v="3"/>
  </r>
  <r>
    <x v="26"/>
    <s v="March"/>
    <x v="5"/>
    <x v="185"/>
    <x v="1"/>
    <x v="0"/>
    <x v="82"/>
    <n v="33.799999999999997"/>
    <x v="3"/>
  </r>
  <r>
    <x v="26"/>
    <s v="March"/>
    <x v="5"/>
    <x v="186"/>
    <x v="1"/>
    <x v="0"/>
    <x v="83"/>
    <n v="38.700000000000003"/>
    <x v="1"/>
  </r>
  <r>
    <x v="26"/>
    <s v="March"/>
    <x v="5"/>
    <x v="187"/>
    <x v="1"/>
    <x v="0"/>
    <x v="12"/>
    <n v="38.700000000000003"/>
    <x v="7"/>
  </r>
  <r>
    <x v="26"/>
    <s v="March"/>
    <x v="5"/>
    <x v="188"/>
    <x v="1"/>
    <x v="0"/>
    <x v="12"/>
    <n v="28.9"/>
    <x v="2"/>
  </r>
  <r>
    <x v="26"/>
    <s v="March"/>
    <x v="5"/>
    <x v="189"/>
    <x v="2"/>
    <x v="0"/>
    <x v="84"/>
    <n v="28.9"/>
    <x v="5"/>
  </r>
  <r>
    <x v="26"/>
    <s v="March"/>
    <x v="5"/>
    <x v="190"/>
    <x v="2"/>
    <x v="1"/>
    <x v="10"/>
    <n v="40"/>
    <x v="0"/>
  </r>
  <r>
    <x v="27"/>
    <s v="March"/>
    <x v="6"/>
    <x v="191"/>
    <x v="1"/>
    <x v="0"/>
    <x v="85"/>
    <n v="28.9"/>
    <x v="5"/>
  </r>
  <r>
    <x v="27"/>
    <s v="March"/>
    <x v="6"/>
    <x v="192"/>
    <x v="2"/>
    <x v="0"/>
    <x v="12"/>
    <n v="28.9"/>
    <x v="5"/>
  </r>
  <r>
    <x v="27"/>
    <s v="March"/>
    <x v="6"/>
    <x v="193"/>
    <x v="2"/>
    <x v="0"/>
    <x v="12"/>
    <n v="28.9"/>
    <x v="2"/>
  </r>
  <r>
    <x v="27"/>
    <s v="March"/>
    <x v="6"/>
    <x v="194"/>
    <x v="2"/>
    <x v="0"/>
    <x v="86"/>
    <n v="38.700000000000003"/>
    <x v="0"/>
  </r>
  <r>
    <x v="28"/>
    <s v="March"/>
    <x v="0"/>
    <x v="195"/>
    <x v="0"/>
    <x v="0"/>
    <x v="87"/>
    <n v="38.700000000000003"/>
    <x v="0"/>
  </r>
  <r>
    <x v="28"/>
    <s v="March"/>
    <x v="0"/>
    <x v="196"/>
    <x v="1"/>
    <x v="0"/>
    <x v="88"/>
    <n v="38.700000000000003"/>
    <x v="7"/>
  </r>
  <r>
    <x v="28"/>
    <s v="March"/>
    <x v="0"/>
    <x v="197"/>
    <x v="1"/>
    <x v="0"/>
    <x v="88"/>
    <n v="38.700000000000003"/>
    <x v="7"/>
  </r>
  <r>
    <x v="28"/>
    <s v="March"/>
    <x v="0"/>
    <x v="198"/>
    <x v="1"/>
    <x v="1"/>
    <x v="10"/>
    <n v="40"/>
    <x v="7"/>
  </r>
  <r>
    <x v="29"/>
    <s v="March"/>
    <x v="1"/>
    <x v="199"/>
    <x v="0"/>
    <x v="0"/>
    <x v="69"/>
    <n v="38.700000000000003"/>
    <x v="0"/>
  </r>
  <r>
    <x v="29"/>
    <s v="March"/>
    <x v="1"/>
    <x v="200"/>
    <x v="1"/>
    <x v="1"/>
    <x v="10"/>
    <n v="40"/>
    <x v="7"/>
  </r>
  <r>
    <x v="29"/>
    <s v="March"/>
    <x v="1"/>
    <x v="201"/>
    <x v="2"/>
    <x v="0"/>
    <x v="17"/>
    <n v="38.700000000000003"/>
    <x v="0"/>
  </r>
  <r>
    <x v="29"/>
    <s v="March"/>
    <x v="1"/>
    <x v="202"/>
    <x v="2"/>
    <x v="0"/>
    <x v="8"/>
    <n v="38.700000000000003"/>
    <x v="0"/>
  </r>
  <r>
    <x v="29"/>
    <s v="March"/>
    <x v="1"/>
    <x v="203"/>
    <x v="2"/>
    <x v="0"/>
    <x v="8"/>
    <n v="33.799999999999997"/>
    <x v="3"/>
  </r>
  <r>
    <x v="30"/>
    <s v="March"/>
    <x v="2"/>
    <x v="204"/>
    <x v="0"/>
    <x v="0"/>
    <x v="89"/>
    <n v="38.700000000000003"/>
    <x v="7"/>
  </r>
  <r>
    <x v="30"/>
    <s v="March"/>
    <x v="2"/>
    <x v="205"/>
    <x v="2"/>
    <x v="1"/>
    <x v="10"/>
    <n v="30"/>
    <x v="2"/>
  </r>
  <r>
    <x v="31"/>
    <s v="April"/>
    <x v="3"/>
    <x v="206"/>
    <x v="0"/>
    <x v="0"/>
    <x v="3"/>
    <n v="28.9"/>
    <x v="2"/>
  </r>
  <r>
    <x v="31"/>
    <s v="April"/>
    <x v="3"/>
    <x v="207"/>
    <x v="0"/>
    <x v="0"/>
    <x v="3"/>
    <n v="33.799999999999997"/>
    <x v="3"/>
  </r>
  <r>
    <x v="31"/>
    <s v="April"/>
    <x v="3"/>
    <x v="208"/>
    <x v="0"/>
    <x v="0"/>
    <x v="3"/>
    <n v="33.799999999999997"/>
    <x v="3"/>
  </r>
  <r>
    <x v="31"/>
    <s v="April"/>
    <x v="3"/>
    <x v="209"/>
    <x v="0"/>
    <x v="0"/>
    <x v="8"/>
    <n v="33.799999999999997"/>
    <x v="3"/>
  </r>
  <r>
    <x v="31"/>
    <s v="April"/>
    <x v="3"/>
    <x v="210"/>
    <x v="2"/>
    <x v="1"/>
    <x v="10"/>
    <n v="40"/>
    <x v="7"/>
  </r>
  <r>
    <x v="31"/>
    <s v="April"/>
    <x v="3"/>
    <x v="211"/>
    <x v="2"/>
    <x v="0"/>
    <x v="24"/>
    <n v="33.799999999999997"/>
    <x v="3"/>
  </r>
  <r>
    <x v="31"/>
    <s v="April"/>
    <x v="3"/>
    <x v="212"/>
    <x v="2"/>
    <x v="0"/>
    <x v="90"/>
    <n v="38.700000000000003"/>
    <x v="1"/>
  </r>
  <r>
    <x v="32"/>
    <s v="April"/>
    <x v="4"/>
    <x v="213"/>
    <x v="0"/>
    <x v="0"/>
    <x v="0"/>
    <n v="38.700000000000003"/>
    <x v="0"/>
  </r>
  <r>
    <x v="32"/>
    <s v="April"/>
    <x v="4"/>
    <x v="214"/>
    <x v="2"/>
    <x v="0"/>
    <x v="2"/>
    <n v="28.9"/>
    <x v="2"/>
  </r>
  <r>
    <x v="32"/>
    <s v="April"/>
    <x v="4"/>
    <x v="215"/>
    <x v="2"/>
    <x v="0"/>
    <x v="2"/>
    <n v="28.9"/>
    <x v="5"/>
  </r>
  <r>
    <x v="32"/>
    <s v="April"/>
    <x v="4"/>
    <x v="216"/>
    <x v="2"/>
    <x v="1"/>
    <x v="10"/>
    <n v="40"/>
    <x v="7"/>
  </r>
  <r>
    <x v="33"/>
    <s v="April"/>
    <x v="5"/>
    <x v="217"/>
    <x v="0"/>
    <x v="0"/>
    <x v="2"/>
    <n v="28.9"/>
    <x v="5"/>
  </r>
  <r>
    <x v="33"/>
    <s v="April"/>
    <x v="5"/>
    <x v="218"/>
    <x v="0"/>
    <x v="0"/>
    <x v="2"/>
    <n v="28.9"/>
    <x v="2"/>
  </r>
  <r>
    <x v="33"/>
    <s v="April"/>
    <x v="5"/>
    <x v="219"/>
    <x v="1"/>
    <x v="0"/>
    <x v="12"/>
    <n v="38.700000000000003"/>
    <x v="7"/>
  </r>
  <r>
    <x v="33"/>
    <s v="April"/>
    <x v="5"/>
    <x v="220"/>
    <x v="1"/>
    <x v="1"/>
    <x v="10"/>
    <n v="30"/>
    <x v="5"/>
  </r>
  <r>
    <x v="34"/>
    <s v="April"/>
    <x v="6"/>
    <x v="221"/>
    <x v="0"/>
    <x v="0"/>
    <x v="91"/>
    <n v="38.700000000000003"/>
    <x v="0"/>
  </r>
  <r>
    <x v="34"/>
    <s v="April"/>
    <x v="6"/>
    <x v="222"/>
    <x v="0"/>
    <x v="0"/>
    <x v="92"/>
    <n v="38.700000000000003"/>
    <x v="0"/>
  </r>
  <r>
    <x v="34"/>
    <s v="April"/>
    <x v="6"/>
    <x v="223"/>
    <x v="0"/>
    <x v="0"/>
    <x v="93"/>
    <n v="38.700000000000003"/>
    <x v="7"/>
  </r>
  <r>
    <x v="34"/>
    <s v="April"/>
    <x v="6"/>
    <x v="224"/>
    <x v="1"/>
    <x v="0"/>
    <x v="94"/>
    <n v="28.9"/>
    <x v="5"/>
  </r>
  <r>
    <x v="34"/>
    <s v="April"/>
    <x v="6"/>
    <x v="225"/>
    <x v="2"/>
    <x v="1"/>
    <x v="10"/>
    <n v="40"/>
    <x v="0"/>
  </r>
  <r>
    <x v="35"/>
    <s v="April"/>
    <x v="0"/>
    <x v="226"/>
    <x v="0"/>
    <x v="0"/>
    <x v="95"/>
    <n v="28.9"/>
    <x v="2"/>
  </r>
  <r>
    <x v="35"/>
    <s v="April"/>
    <x v="0"/>
    <x v="227"/>
    <x v="0"/>
    <x v="0"/>
    <x v="12"/>
    <n v="28.9"/>
    <x v="2"/>
  </r>
  <r>
    <x v="35"/>
    <s v="April"/>
    <x v="0"/>
    <x v="228"/>
    <x v="0"/>
    <x v="0"/>
    <x v="96"/>
    <n v="28.9"/>
    <x v="5"/>
  </r>
  <r>
    <x v="35"/>
    <s v="April"/>
    <x v="0"/>
    <x v="229"/>
    <x v="1"/>
    <x v="0"/>
    <x v="97"/>
    <n v="33.799999999999997"/>
    <x v="3"/>
  </r>
  <r>
    <x v="35"/>
    <s v="April"/>
    <x v="0"/>
    <x v="230"/>
    <x v="1"/>
    <x v="0"/>
    <x v="98"/>
    <n v="38.700000000000003"/>
    <x v="0"/>
  </r>
  <r>
    <x v="35"/>
    <s v="April"/>
    <x v="0"/>
    <x v="231"/>
    <x v="1"/>
    <x v="0"/>
    <x v="98"/>
    <n v="28.9"/>
    <x v="5"/>
  </r>
  <r>
    <x v="35"/>
    <s v="April"/>
    <x v="0"/>
    <x v="232"/>
    <x v="1"/>
    <x v="1"/>
    <x v="10"/>
    <n v="40"/>
    <x v="0"/>
  </r>
  <r>
    <x v="35"/>
    <s v="April"/>
    <x v="0"/>
    <x v="233"/>
    <x v="1"/>
    <x v="1"/>
    <x v="10"/>
    <n v="40"/>
    <x v="7"/>
  </r>
  <r>
    <x v="35"/>
    <s v="April"/>
    <x v="0"/>
    <x v="234"/>
    <x v="1"/>
    <x v="1"/>
    <x v="10"/>
    <n v="30"/>
    <x v="2"/>
  </r>
  <r>
    <x v="35"/>
    <s v="April"/>
    <x v="0"/>
    <x v="235"/>
    <x v="2"/>
    <x v="1"/>
    <x v="10"/>
    <n v="40"/>
    <x v="4"/>
  </r>
  <r>
    <x v="35"/>
    <s v="April"/>
    <x v="0"/>
    <x v="236"/>
    <x v="2"/>
    <x v="0"/>
    <x v="2"/>
    <n v="24"/>
    <x v="6"/>
  </r>
  <r>
    <x v="36"/>
    <s v="April"/>
    <x v="1"/>
    <x v="237"/>
    <x v="1"/>
    <x v="0"/>
    <x v="99"/>
    <n v="33.799999999999997"/>
    <x v="3"/>
  </r>
  <r>
    <x v="36"/>
    <s v="April"/>
    <x v="1"/>
    <x v="238"/>
    <x v="1"/>
    <x v="0"/>
    <x v="40"/>
    <n v="38.700000000000003"/>
    <x v="7"/>
  </r>
  <r>
    <x v="36"/>
    <s v="April"/>
    <x v="1"/>
    <x v="239"/>
    <x v="1"/>
    <x v="0"/>
    <x v="40"/>
    <n v="28.9"/>
    <x v="2"/>
  </r>
  <r>
    <x v="36"/>
    <s v="April"/>
    <x v="1"/>
    <x v="240"/>
    <x v="1"/>
    <x v="0"/>
    <x v="8"/>
    <n v="38.700000000000003"/>
    <x v="0"/>
  </r>
  <r>
    <x v="37"/>
    <s v="April"/>
    <x v="2"/>
    <x v="241"/>
    <x v="0"/>
    <x v="0"/>
    <x v="91"/>
    <n v="38.700000000000003"/>
    <x v="0"/>
  </r>
  <r>
    <x v="37"/>
    <s v="April"/>
    <x v="2"/>
    <x v="242"/>
    <x v="1"/>
    <x v="0"/>
    <x v="40"/>
    <n v="38.700000000000003"/>
    <x v="7"/>
  </r>
  <r>
    <x v="37"/>
    <s v="April"/>
    <x v="2"/>
    <x v="243"/>
    <x v="1"/>
    <x v="0"/>
    <x v="40"/>
    <n v="38.700000000000003"/>
    <x v="7"/>
  </r>
  <r>
    <x v="37"/>
    <s v="April"/>
    <x v="2"/>
    <x v="244"/>
    <x v="1"/>
    <x v="0"/>
    <x v="100"/>
    <n v="28.9"/>
    <x v="5"/>
  </r>
  <r>
    <x v="37"/>
    <s v="April"/>
    <x v="2"/>
    <x v="245"/>
    <x v="1"/>
    <x v="0"/>
    <x v="100"/>
    <n v="24"/>
    <x v="6"/>
  </r>
  <r>
    <x v="37"/>
    <s v="April"/>
    <x v="2"/>
    <x v="246"/>
    <x v="2"/>
    <x v="0"/>
    <x v="101"/>
    <n v="38.700000000000003"/>
    <x v="1"/>
  </r>
  <r>
    <x v="37"/>
    <s v="April"/>
    <x v="2"/>
    <x v="247"/>
    <x v="2"/>
    <x v="0"/>
    <x v="101"/>
    <n v="33.799999999999997"/>
    <x v="3"/>
  </r>
  <r>
    <x v="38"/>
    <s v="April"/>
    <x v="3"/>
    <x v="248"/>
    <x v="0"/>
    <x v="0"/>
    <x v="102"/>
    <n v="33.799999999999997"/>
    <x v="3"/>
  </r>
  <r>
    <x v="38"/>
    <s v="April"/>
    <x v="3"/>
    <x v="249"/>
    <x v="0"/>
    <x v="0"/>
    <x v="103"/>
    <n v="38.700000000000003"/>
    <x v="7"/>
  </r>
  <r>
    <x v="38"/>
    <s v="April"/>
    <x v="3"/>
    <x v="250"/>
    <x v="0"/>
    <x v="0"/>
    <x v="12"/>
    <n v="28.9"/>
    <x v="2"/>
  </r>
  <r>
    <x v="38"/>
    <s v="April"/>
    <x v="3"/>
    <x v="251"/>
    <x v="0"/>
    <x v="0"/>
    <x v="104"/>
    <n v="38.700000000000003"/>
    <x v="7"/>
  </r>
  <r>
    <x v="38"/>
    <s v="April"/>
    <x v="3"/>
    <x v="252"/>
    <x v="1"/>
    <x v="1"/>
    <x v="10"/>
    <n v="25"/>
    <x v="6"/>
  </r>
  <r>
    <x v="38"/>
    <s v="April"/>
    <x v="3"/>
    <x v="253"/>
    <x v="1"/>
    <x v="1"/>
    <x v="10"/>
    <n v="35"/>
    <x v="3"/>
  </r>
  <r>
    <x v="38"/>
    <s v="April"/>
    <x v="3"/>
    <x v="254"/>
    <x v="2"/>
    <x v="0"/>
    <x v="17"/>
    <n v="38.700000000000003"/>
    <x v="0"/>
  </r>
  <r>
    <x v="38"/>
    <s v="April"/>
    <x v="3"/>
    <x v="255"/>
    <x v="2"/>
    <x v="0"/>
    <x v="105"/>
    <n v="28.9"/>
    <x v="2"/>
  </r>
  <r>
    <x v="38"/>
    <s v="April"/>
    <x v="3"/>
    <x v="256"/>
    <x v="2"/>
    <x v="0"/>
    <x v="24"/>
    <n v="33.799999999999997"/>
    <x v="3"/>
  </r>
  <r>
    <x v="38"/>
    <s v="April"/>
    <x v="3"/>
    <x v="257"/>
    <x v="2"/>
    <x v="0"/>
    <x v="106"/>
    <n v="38.700000000000003"/>
    <x v="7"/>
  </r>
  <r>
    <x v="39"/>
    <s v="April"/>
    <x v="4"/>
    <x v="258"/>
    <x v="0"/>
    <x v="1"/>
    <x v="10"/>
    <n v="40"/>
    <x v="7"/>
  </r>
  <r>
    <x v="39"/>
    <s v="April"/>
    <x v="4"/>
    <x v="259"/>
    <x v="0"/>
    <x v="1"/>
    <x v="10"/>
    <n v="30"/>
    <x v="2"/>
  </r>
  <r>
    <x v="39"/>
    <s v="April"/>
    <x v="4"/>
    <x v="260"/>
    <x v="0"/>
    <x v="0"/>
    <x v="91"/>
    <n v="38.700000000000003"/>
    <x v="0"/>
  </r>
  <r>
    <x v="39"/>
    <s v="April"/>
    <x v="4"/>
    <x v="261"/>
    <x v="1"/>
    <x v="0"/>
    <x v="107"/>
    <n v="38.700000000000003"/>
    <x v="1"/>
  </r>
  <r>
    <x v="39"/>
    <s v="April"/>
    <x v="4"/>
    <x v="262"/>
    <x v="2"/>
    <x v="0"/>
    <x v="49"/>
    <n v="38.700000000000003"/>
    <x v="1"/>
  </r>
  <r>
    <x v="40"/>
    <s v="April"/>
    <x v="5"/>
    <x v="263"/>
    <x v="0"/>
    <x v="1"/>
    <x v="10"/>
    <n v="25"/>
    <x v="6"/>
  </r>
  <r>
    <x v="40"/>
    <s v="April"/>
    <x v="5"/>
    <x v="264"/>
    <x v="2"/>
    <x v="1"/>
    <x v="10"/>
    <n v="40"/>
    <x v="1"/>
  </r>
  <r>
    <x v="40"/>
    <s v="April"/>
    <x v="5"/>
    <x v="265"/>
    <x v="2"/>
    <x v="0"/>
    <x v="108"/>
    <n v="24"/>
    <x v="6"/>
  </r>
  <r>
    <x v="40"/>
    <s v="April"/>
    <x v="5"/>
    <x v="266"/>
    <x v="2"/>
    <x v="0"/>
    <x v="8"/>
    <n v="38.700000000000003"/>
    <x v="7"/>
  </r>
  <r>
    <x v="40"/>
    <s v="April"/>
    <x v="5"/>
    <x v="267"/>
    <x v="3"/>
    <x v="0"/>
    <x v="109"/>
    <n v="38.700000000000003"/>
    <x v="0"/>
  </r>
  <r>
    <x v="41"/>
    <s v="April"/>
    <x v="6"/>
    <x v="268"/>
    <x v="0"/>
    <x v="0"/>
    <x v="110"/>
    <n v="28.9"/>
    <x v="2"/>
  </r>
  <r>
    <x v="41"/>
    <s v="April"/>
    <x v="6"/>
    <x v="269"/>
    <x v="0"/>
    <x v="0"/>
    <x v="110"/>
    <n v="28.9"/>
    <x v="2"/>
  </r>
  <r>
    <x v="41"/>
    <s v="April"/>
    <x v="6"/>
    <x v="270"/>
    <x v="2"/>
    <x v="0"/>
    <x v="17"/>
    <n v="38.700000000000003"/>
    <x v="0"/>
  </r>
  <r>
    <x v="41"/>
    <s v="April"/>
    <x v="6"/>
    <x v="271"/>
    <x v="2"/>
    <x v="0"/>
    <x v="106"/>
    <n v="38.700000000000003"/>
    <x v="7"/>
  </r>
  <r>
    <x v="41"/>
    <s v="April"/>
    <x v="6"/>
    <x v="272"/>
    <x v="2"/>
    <x v="0"/>
    <x v="24"/>
    <n v="33.799999999999997"/>
    <x v="3"/>
  </r>
  <r>
    <x v="42"/>
    <s v="April"/>
    <x v="0"/>
    <x v="273"/>
    <x v="2"/>
    <x v="0"/>
    <x v="19"/>
    <n v="38.700000000000003"/>
    <x v="1"/>
  </r>
  <r>
    <x v="42"/>
    <s v="April"/>
    <x v="0"/>
    <x v="274"/>
    <x v="2"/>
    <x v="0"/>
    <x v="8"/>
    <n v="28.9"/>
    <x v="5"/>
  </r>
  <r>
    <x v="43"/>
    <s v="April"/>
    <x v="1"/>
    <x v="275"/>
    <x v="1"/>
    <x v="0"/>
    <x v="8"/>
    <n v="38.700000000000003"/>
    <x v="0"/>
  </r>
  <r>
    <x v="43"/>
    <s v="April"/>
    <x v="1"/>
    <x v="276"/>
    <x v="1"/>
    <x v="0"/>
    <x v="12"/>
    <n v="28.9"/>
    <x v="2"/>
  </r>
  <r>
    <x v="43"/>
    <s v="April"/>
    <x v="1"/>
    <x v="277"/>
    <x v="1"/>
    <x v="1"/>
    <x v="10"/>
    <n v="40"/>
    <x v="1"/>
  </r>
  <r>
    <x v="43"/>
    <s v="April"/>
    <x v="1"/>
    <x v="278"/>
    <x v="1"/>
    <x v="1"/>
    <x v="10"/>
    <n v="40"/>
    <x v="1"/>
  </r>
  <r>
    <x v="43"/>
    <s v="April"/>
    <x v="1"/>
    <x v="279"/>
    <x v="2"/>
    <x v="0"/>
    <x v="111"/>
    <n v="38.700000000000003"/>
    <x v="7"/>
  </r>
  <r>
    <x v="43"/>
    <s v="April"/>
    <x v="1"/>
    <x v="280"/>
    <x v="2"/>
    <x v="0"/>
    <x v="111"/>
    <n v="38.700000000000003"/>
    <x v="0"/>
  </r>
  <r>
    <x v="43"/>
    <s v="April"/>
    <x v="1"/>
    <x v="281"/>
    <x v="2"/>
    <x v="0"/>
    <x v="112"/>
    <n v="38.700000000000003"/>
    <x v="7"/>
  </r>
  <r>
    <x v="43"/>
    <s v="April"/>
    <x v="1"/>
    <x v="282"/>
    <x v="2"/>
    <x v="0"/>
    <x v="12"/>
    <n v="38.700000000000003"/>
    <x v="7"/>
  </r>
  <r>
    <x v="44"/>
    <s v="April"/>
    <x v="2"/>
    <x v="283"/>
    <x v="0"/>
    <x v="1"/>
    <x v="10"/>
    <n v="40"/>
    <x v="0"/>
  </r>
  <r>
    <x v="44"/>
    <s v="April"/>
    <x v="2"/>
    <x v="284"/>
    <x v="1"/>
    <x v="0"/>
    <x v="113"/>
    <n v="38.700000000000003"/>
    <x v="7"/>
  </r>
  <r>
    <x v="44"/>
    <s v="April"/>
    <x v="2"/>
    <x v="285"/>
    <x v="1"/>
    <x v="1"/>
    <x v="10"/>
    <n v="30"/>
    <x v="5"/>
  </r>
  <r>
    <x v="44"/>
    <s v="April"/>
    <x v="2"/>
    <x v="286"/>
    <x v="1"/>
    <x v="1"/>
    <x v="10"/>
    <n v="30"/>
    <x v="5"/>
  </r>
  <r>
    <x v="44"/>
    <s v="April"/>
    <x v="2"/>
    <x v="287"/>
    <x v="1"/>
    <x v="1"/>
    <x v="10"/>
    <n v="35"/>
    <x v="3"/>
  </r>
  <r>
    <x v="44"/>
    <s v="April"/>
    <x v="2"/>
    <x v="288"/>
    <x v="1"/>
    <x v="0"/>
    <x v="114"/>
    <n v="28.9"/>
    <x v="5"/>
  </r>
  <r>
    <x v="44"/>
    <s v="April"/>
    <x v="2"/>
    <x v="289"/>
    <x v="1"/>
    <x v="0"/>
    <x v="12"/>
    <n v="28.9"/>
    <x v="2"/>
  </r>
  <r>
    <x v="44"/>
    <s v="April"/>
    <x v="2"/>
    <x v="290"/>
    <x v="1"/>
    <x v="0"/>
    <x v="12"/>
    <n v="28.9"/>
    <x v="2"/>
  </r>
  <r>
    <x v="44"/>
    <s v="April"/>
    <x v="2"/>
    <x v="291"/>
    <x v="1"/>
    <x v="0"/>
    <x v="12"/>
    <n v="28.9"/>
    <x v="2"/>
  </r>
  <r>
    <x v="44"/>
    <s v="April"/>
    <x v="2"/>
    <x v="292"/>
    <x v="1"/>
    <x v="0"/>
    <x v="17"/>
    <n v="38.700000000000003"/>
    <x v="7"/>
  </r>
  <r>
    <x v="44"/>
    <s v="April"/>
    <x v="2"/>
    <x v="293"/>
    <x v="2"/>
    <x v="0"/>
    <x v="12"/>
    <n v="28.9"/>
    <x v="5"/>
  </r>
  <r>
    <x v="44"/>
    <s v="April"/>
    <x v="2"/>
    <x v="294"/>
    <x v="2"/>
    <x v="0"/>
    <x v="19"/>
    <n v="38.700000000000003"/>
    <x v="0"/>
  </r>
  <r>
    <x v="44"/>
    <s v="April"/>
    <x v="2"/>
    <x v="295"/>
    <x v="2"/>
    <x v="0"/>
    <x v="115"/>
    <n v="38.700000000000003"/>
    <x v="7"/>
  </r>
  <r>
    <x v="45"/>
    <s v="April"/>
    <x v="3"/>
    <x v="296"/>
    <x v="0"/>
    <x v="0"/>
    <x v="64"/>
    <n v="28.9"/>
    <x v="2"/>
  </r>
  <r>
    <x v="45"/>
    <s v="April"/>
    <x v="3"/>
    <x v="297"/>
    <x v="2"/>
    <x v="0"/>
    <x v="2"/>
    <n v="28.9"/>
    <x v="2"/>
  </r>
  <r>
    <x v="45"/>
    <s v="April"/>
    <x v="3"/>
    <x v="298"/>
    <x v="2"/>
    <x v="0"/>
    <x v="3"/>
    <n v="33.799999999999997"/>
    <x v="3"/>
  </r>
  <r>
    <x v="45"/>
    <s v="April"/>
    <x v="3"/>
    <x v="299"/>
    <x v="2"/>
    <x v="0"/>
    <x v="8"/>
    <n v="33.799999999999997"/>
    <x v="3"/>
  </r>
  <r>
    <x v="45"/>
    <s v="April"/>
    <x v="3"/>
    <x v="300"/>
    <x v="2"/>
    <x v="1"/>
    <x v="10"/>
    <n v="25"/>
    <x v="6"/>
  </r>
  <r>
    <x v="46"/>
    <s v="April"/>
    <x v="4"/>
    <x v="301"/>
    <x v="0"/>
    <x v="1"/>
    <x v="10"/>
    <n v="35"/>
    <x v="3"/>
  </r>
  <r>
    <x v="46"/>
    <s v="April"/>
    <x v="4"/>
    <x v="302"/>
    <x v="0"/>
    <x v="0"/>
    <x v="116"/>
    <n v="33.799999999999997"/>
    <x v="3"/>
  </r>
  <r>
    <x v="46"/>
    <s v="April"/>
    <x v="4"/>
    <x v="303"/>
    <x v="1"/>
    <x v="0"/>
    <x v="117"/>
    <n v="38.700000000000003"/>
    <x v="4"/>
  </r>
  <r>
    <x v="46"/>
    <s v="April"/>
    <x v="4"/>
    <x v="304"/>
    <x v="1"/>
    <x v="0"/>
    <x v="64"/>
    <n v="28.9"/>
    <x v="5"/>
  </r>
  <r>
    <x v="46"/>
    <s v="April"/>
    <x v="4"/>
    <x v="305"/>
    <x v="1"/>
    <x v="0"/>
    <x v="118"/>
    <n v="28.9"/>
    <x v="2"/>
  </r>
  <r>
    <x v="46"/>
    <s v="April"/>
    <x v="4"/>
    <x v="306"/>
    <x v="2"/>
    <x v="0"/>
    <x v="24"/>
    <n v="33.799999999999997"/>
    <x v="3"/>
  </r>
  <r>
    <x v="46"/>
    <s v="April"/>
    <x v="4"/>
    <x v="307"/>
    <x v="2"/>
    <x v="0"/>
    <x v="8"/>
    <n v="38.700000000000003"/>
    <x v="7"/>
  </r>
  <r>
    <x v="46"/>
    <s v="April"/>
    <x v="4"/>
    <x v="308"/>
    <x v="2"/>
    <x v="0"/>
    <x v="50"/>
    <n v="38.700000000000003"/>
    <x v="4"/>
  </r>
  <r>
    <x v="47"/>
    <s v="April"/>
    <x v="5"/>
    <x v="309"/>
    <x v="1"/>
    <x v="0"/>
    <x v="12"/>
    <n v="28.9"/>
    <x v="2"/>
  </r>
  <r>
    <x v="47"/>
    <s v="April"/>
    <x v="5"/>
    <x v="310"/>
    <x v="1"/>
    <x v="0"/>
    <x v="119"/>
    <n v="24"/>
    <x v="6"/>
  </r>
  <r>
    <x v="47"/>
    <s v="April"/>
    <x v="5"/>
    <x v="311"/>
    <x v="2"/>
    <x v="1"/>
    <x v="10"/>
    <n v="40"/>
    <x v="7"/>
  </r>
  <r>
    <x v="47"/>
    <s v="April"/>
    <x v="5"/>
    <x v="312"/>
    <x v="2"/>
    <x v="0"/>
    <x v="120"/>
    <n v="38.700000000000003"/>
    <x v="7"/>
  </r>
  <r>
    <x v="47"/>
    <s v="April"/>
    <x v="5"/>
    <x v="313"/>
    <x v="2"/>
    <x v="0"/>
    <x v="120"/>
    <n v="38.700000000000003"/>
    <x v="7"/>
  </r>
  <r>
    <x v="47"/>
    <s v="April"/>
    <x v="5"/>
    <x v="314"/>
    <x v="2"/>
    <x v="0"/>
    <x v="121"/>
    <n v="28.9"/>
    <x v="5"/>
  </r>
  <r>
    <x v="48"/>
    <s v="April"/>
    <x v="6"/>
    <x v="315"/>
    <x v="0"/>
    <x v="0"/>
    <x v="2"/>
    <n v="28.9"/>
    <x v="2"/>
  </r>
  <r>
    <x v="48"/>
    <s v="April"/>
    <x v="6"/>
    <x v="316"/>
    <x v="0"/>
    <x v="0"/>
    <x v="2"/>
    <n v="28.9"/>
    <x v="2"/>
  </r>
  <r>
    <x v="48"/>
    <s v="April"/>
    <x v="6"/>
    <x v="317"/>
    <x v="1"/>
    <x v="0"/>
    <x v="122"/>
    <n v="33.799999999999997"/>
    <x v="3"/>
  </r>
  <r>
    <x v="48"/>
    <s v="April"/>
    <x v="6"/>
    <x v="318"/>
    <x v="1"/>
    <x v="0"/>
    <x v="122"/>
    <n v="28.9"/>
    <x v="5"/>
  </r>
  <r>
    <x v="48"/>
    <s v="April"/>
    <x v="6"/>
    <x v="319"/>
    <x v="1"/>
    <x v="0"/>
    <x v="123"/>
    <n v="38.700000000000003"/>
    <x v="7"/>
  </r>
  <r>
    <x v="48"/>
    <s v="April"/>
    <x v="6"/>
    <x v="320"/>
    <x v="1"/>
    <x v="0"/>
    <x v="123"/>
    <n v="38.700000000000003"/>
    <x v="0"/>
  </r>
  <r>
    <x v="48"/>
    <s v="April"/>
    <x v="6"/>
    <x v="321"/>
    <x v="2"/>
    <x v="0"/>
    <x v="69"/>
    <n v="38.700000000000003"/>
    <x v="0"/>
  </r>
  <r>
    <x v="48"/>
    <s v="April"/>
    <x v="6"/>
    <x v="322"/>
    <x v="2"/>
    <x v="0"/>
    <x v="85"/>
    <n v="38.700000000000003"/>
    <x v="7"/>
  </r>
  <r>
    <x v="48"/>
    <s v="April"/>
    <x v="6"/>
    <x v="323"/>
    <x v="2"/>
    <x v="0"/>
    <x v="24"/>
    <n v="38.700000000000003"/>
    <x v="1"/>
  </r>
  <r>
    <x v="48"/>
    <s v="April"/>
    <x v="6"/>
    <x v="324"/>
    <x v="2"/>
    <x v="0"/>
    <x v="8"/>
    <n v="38.700000000000003"/>
    <x v="1"/>
  </r>
  <r>
    <x v="49"/>
    <s v="April"/>
    <x v="0"/>
    <x v="325"/>
    <x v="0"/>
    <x v="0"/>
    <x v="0"/>
    <n v="38.700000000000003"/>
    <x v="0"/>
  </r>
  <r>
    <x v="49"/>
    <s v="April"/>
    <x v="0"/>
    <x v="326"/>
    <x v="1"/>
    <x v="0"/>
    <x v="40"/>
    <n v="33.799999999999997"/>
    <x v="3"/>
  </r>
  <r>
    <x v="49"/>
    <s v="April"/>
    <x v="0"/>
    <x v="327"/>
    <x v="1"/>
    <x v="0"/>
    <x v="40"/>
    <n v="38.700000000000003"/>
    <x v="7"/>
  </r>
  <r>
    <x v="49"/>
    <s v="April"/>
    <x v="0"/>
    <x v="328"/>
    <x v="1"/>
    <x v="0"/>
    <x v="124"/>
    <n v="38.700000000000003"/>
    <x v="1"/>
  </r>
  <r>
    <x v="49"/>
    <s v="April"/>
    <x v="0"/>
    <x v="329"/>
    <x v="1"/>
    <x v="0"/>
    <x v="124"/>
    <n v="38.700000000000003"/>
    <x v="7"/>
  </r>
  <r>
    <x v="49"/>
    <s v="April"/>
    <x v="0"/>
    <x v="330"/>
    <x v="2"/>
    <x v="0"/>
    <x v="24"/>
    <n v="38.700000000000003"/>
    <x v="4"/>
  </r>
  <r>
    <x v="49"/>
    <s v="April"/>
    <x v="0"/>
    <x v="331"/>
    <x v="2"/>
    <x v="0"/>
    <x v="8"/>
    <n v="33.799999999999997"/>
    <x v="3"/>
  </r>
  <r>
    <x v="50"/>
    <s v="April"/>
    <x v="1"/>
    <x v="332"/>
    <x v="0"/>
    <x v="1"/>
    <x v="10"/>
    <n v="35"/>
    <x v="3"/>
  </r>
  <r>
    <x v="50"/>
    <s v="April"/>
    <x v="1"/>
    <x v="333"/>
    <x v="1"/>
    <x v="0"/>
    <x v="125"/>
    <n v="33.799999999999997"/>
    <x v="3"/>
  </r>
  <r>
    <x v="50"/>
    <s v="April"/>
    <x v="1"/>
    <x v="334"/>
    <x v="1"/>
    <x v="0"/>
    <x v="125"/>
    <n v="33.799999999999997"/>
    <x v="3"/>
  </r>
  <r>
    <x v="50"/>
    <s v="April"/>
    <x v="1"/>
    <x v="335"/>
    <x v="1"/>
    <x v="0"/>
    <x v="118"/>
    <n v="28.9"/>
    <x v="2"/>
  </r>
  <r>
    <x v="50"/>
    <s v="April"/>
    <x v="1"/>
    <x v="336"/>
    <x v="1"/>
    <x v="0"/>
    <x v="118"/>
    <n v="33.799999999999997"/>
    <x v="3"/>
  </r>
  <r>
    <x v="50"/>
    <s v="April"/>
    <x v="1"/>
    <x v="337"/>
    <x v="1"/>
    <x v="0"/>
    <x v="118"/>
    <n v="38.700000000000003"/>
    <x v="1"/>
  </r>
  <r>
    <x v="50"/>
    <s v="April"/>
    <x v="1"/>
    <x v="338"/>
    <x v="1"/>
    <x v="0"/>
    <x v="40"/>
    <n v="38.700000000000003"/>
    <x v="7"/>
  </r>
  <r>
    <x v="50"/>
    <s v="April"/>
    <x v="1"/>
    <x v="339"/>
    <x v="1"/>
    <x v="0"/>
    <x v="8"/>
    <n v="33.799999999999997"/>
    <x v="3"/>
  </r>
  <r>
    <x v="50"/>
    <s v="April"/>
    <x v="1"/>
    <x v="340"/>
    <x v="1"/>
    <x v="0"/>
    <x v="12"/>
    <n v="32.82"/>
    <x v="3"/>
  </r>
  <r>
    <x v="50"/>
    <s v="April"/>
    <x v="1"/>
    <x v="341"/>
    <x v="1"/>
    <x v="0"/>
    <x v="126"/>
    <n v="32.82"/>
    <x v="3"/>
  </r>
  <r>
    <x v="50"/>
    <s v="April"/>
    <x v="1"/>
    <x v="342"/>
    <x v="2"/>
    <x v="1"/>
    <x v="10"/>
    <n v="39"/>
    <x v="4"/>
  </r>
  <r>
    <x v="50"/>
    <s v="April"/>
    <x v="1"/>
    <x v="343"/>
    <x v="2"/>
    <x v="0"/>
    <x v="127"/>
    <n v="37.72"/>
    <x v="7"/>
  </r>
  <r>
    <x v="50"/>
    <s v="April"/>
    <x v="1"/>
    <x v="344"/>
    <x v="2"/>
    <x v="0"/>
    <x v="127"/>
    <n v="37.72"/>
    <x v="7"/>
  </r>
  <r>
    <x v="50"/>
    <s v="April"/>
    <x v="1"/>
    <x v="345"/>
    <x v="2"/>
    <x v="0"/>
    <x v="128"/>
    <n v="37.72"/>
    <x v="0"/>
  </r>
  <r>
    <x v="51"/>
    <s v="April"/>
    <x v="2"/>
    <x v="346"/>
    <x v="0"/>
    <x v="0"/>
    <x v="0"/>
    <n v="37.72"/>
    <x v="0"/>
  </r>
  <r>
    <x v="51"/>
    <s v="April"/>
    <x v="2"/>
    <x v="347"/>
    <x v="1"/>
    <x v="0"/>
    <x v="99"/>
    <n v="27.92"/>
    <x v="2"/>
  </r>
  <r>
    <x v="51"/>
    <s v="April"/>
    <x v="2"/>
    <x v="348"/>
    <x v="2"/>
    <x v="1"/>
    <x v="10"/>
    <n v="39"/>
    <x v="7"/>
  </r>
  <r>
    <x v="52"/>
    <s v="April"/>
    <x v="3"/>
    <x v="349"/>
    <x v="0"/>
    <x v="0"/>
    <x v="12"/>
    <n v="27.92"/>
    <x v="2"/>
  </r>
  <r>
    <x v="52"/>
    <s v="April"/>
    <x v="3"/>
    <x v="350"/>
    <x v="0"/>
    <x v="0"/>
    <x v="129"/>
    <n v="32.82"/>
    <x v="3"/>
  </r>
  <r>
    <x v="52"/>
    <s v="April"/>
    <x v="3"/>
    <x v="351"/>
    <x v="2"/>
    <x v="1"/>
    <x v="10"/>
    <n v="39"/>
    <x v="0"/>
  </r>
  <r>
    <x v="52"/>
    <s v="April"/>
    <x v="3"/>
    <x v="352"/>
    <x v="2"/>
    <x v="0"/>
    <x v="8"/>
    <n v="37.72"/>
    <x v="0"/>
  </r>
  <r>
    <x v="52"/>
    <s v="April"/>
    <x v="3"/>
    <x v="353"/>
    <x v="3"/>
    <x v="1"/>
    <x v="10"/>
    <n v="39"/>
    <x v="7"/>
  </r>
  <r>
    <x v="53"/>
    <s v="April"/>
    <x v="4"/>
    <x v="354"/>
    <x v="1"/>
    <x v="0"/>
    <x v="25"/>
    <n v="37.72"/>
    <x v="7"/>
  </r>
  <r>
    <x v="53"/>
    <s v="April"/>
    <x v="4"/>
    <x v="355"/>
    <x v="1"/>
    <x v="0"/>
    <x v="24"/>
    <n v="32.82"/>
    <x v="3"/>
  </r>
  <r>
    <x v="53"/>
    <s v="April"/>
    <x v="4"/>
    <x v="356"/>
    <x v="1"/>
    <x v="0"/>
    <x v="8"/>
    <n v="37.72"/>
    <x v="7"/>
  </r>
  <r>
    <x v="53"/>
    <s v="April"/>
    <x v="4"/>
    <x v="357"/>
    <x v="2"/>
    <x v="0"/>
    <x v="130"/>
    <n v="32.82"/>
    <x v="3"/>
  </r>
  <r>
    <x v="53"/>
    <s v="April"/>
    <x v="4"/>
    <x v="358"/>
    <x v="2"/>
    <x v="0"/>
    <x v="130"/>
    <n v="32.82"/>
    <x v="3"/>
  </r>
  <r>
    <x v="54"/>
    <s v="April"/>
    <x v="5"/>
    <x v="359"/>
    <x v="0"/>
    <x v="0"/>
    <x v="0"/>
    <n v="37.72"/>
    <x v="0"/>
  </r>
  <r>
    <x v="54"/>
    <s v="April"/>
    <x v="5"/>
    <x v="360"/>
    <x v="0"/>
    <x v="0"/>
    <x v="131"/>
    <n v="32.82"/>
    <x v="3"/>
  </r>
  <r>
    <x v="54"/>
    <s v="April"/>
    <x v="5"/>
    <x v="361"/>
    <x v="0"/>
    <x v="0"/>
    <x v="132"/>
    <n v="32.82"/>
    <x v="3"/>
  </r>
  <r>
    <x v="54"/>
    <s v="April"/>
    <x v="5"/>
    <x v="362"/>
    <x v="0"/>
    <x v="0"/>
    <x v="133"/>
    <n v="32.82"/>
    <x v="3"/>
  </r>
  <r>
    <x v="54"/>
    <s v="April"/>
    <x v="5"/>
    <x v="363"/>
    <x v="1"/>
    <x v="0"/>
    <x v="59"/>
    <n v="32.82"/>
    <x v="3"/>
  </r>
  <r>
    <x v="54"/>
    <s v="April"/>
    <x v="5"/>
    <x v="364"/>
    <x v="2"/>
    <x v="0"/>
    <x v="8"/>
    <n v="32.82"/>
    <x v="3"/>
  </r>
  <r>
    <x v="54"/>
    <s v="April"/>
    <x v="5"/>
    <x v="365"/>
    <x v="2"/>
    <x v="0"/>
    <x v="134"/>
    <n v="32.82"/>
    <x v="3"/>
  </r>
  <r>
    <x v="54"/>
    <s v="April"/>
    <x v="5"/>
    <x v="366"/>
    <x v="2"/>
    <x v="0"/>
    <x v="134"/>
    <n v="37.72"/>
    <x v="7"/>
  </r>
  <r>
    <x v="55"/>
    <s v="April"/>
    <x v="6"/>
    <x v="367"/>
    <x v="0"/>
    <x v="0"/>
    <x v="135"/>
    <n v="27.92"/>
    <x v="2"/>
  </r>
  <r>
    <x v="55"/>
    <s v="April"/>
    <x v="6"/>
    <x v="368"/>
    <x v="1"/>
    <x v="0"/>
    <x v="8"/>
    <n v="37.72"/>
    <x v="0"/>
  </r>
  <r>
    <x v="55"/>
    <s v="April"/>
    <x v="6"/>
    <x v="369"/>
    <x v="2"/>
    <x v="0"/>
    <x v="12"/>
    <n v="27.92"/>
    <x v="2"/>
  </r>
  <r>
    <x v="55"/>
    <s v="April"/>
    <x v="6"/>
    <x v="370"/>
    <x v="2"/>
    <x v="0"/>
    <x v="12"/>
    <n v="27.92"/>
    <x v="2"/>
  </r>
  <r>
    <x v="56"/>
    <s v="April"/>
    <x v="0"/>
    <x v="371"/>
    <x v="0"/>
    <x v="0"/>
    <x v="0"/>
    <n v="37.72"/>
    <x v="0"/>
  </r>
  <r>
    <x v="56"/>
    <s v="April"/>
    <x v="0"/>
    <x v="372"/>
    <x v="1"/>
    <x v="0"/>
    <x v="136"/>
    <n v="37.72"/>
    <x v="0"/>
  </r>
  <r>
    <x v="56"/>
    <s v="April"/>
    <x v="0"/>
    <x v="373"/>
    <x v="1"/>
    <x v="0"/>
    <x v="137"/>
    <n v="37.72"/>
    <x v="7"/>
  </r>
  <r>
    <x v="56"/>
    <s v="April"/>
    <x v="0"/>
    <x v="374"/>
    <x v="1"/>
    <x v="0"/>
    <x v="12"/>
    <n v="27.92"/>
    <x v="2"/>
  </r>
  <r>
    <x v="56"/>
    <s v="April"/>
    <x v="0"/>
    <x v="375"/>
    <x v="1"/>
    <x v="0"/>
    <x v="12"/>
    <n v="27.92"/>
    <x v="2"/>
  </r>
  <r>
    <x v="56"/>
    <s v="April"/>
    <x v="0"/>
    <x v="376"/>
    <x v="2"/>
    <x v="0"/>
    <x v="138"/>
    <n v="27.92"/>
    <x v="5"/>
  </r>
  <r>
    <x v="56"/>
    <s v="April"/>
    <x v="0"/>
    <x v="377"/>
    <x v="2"/>
    <x v="0"/>
    <x v="139"/>
    <n v="27.92"/>
    <x v="2"/>
  </r>
  <r>
    <x v="56"/>
    <s v="April"/>
    <x v="0"/>
    <x v="378"/>
    <x v="2"/>
    <x v="0"/>
    <x v="8"/>
    <n v="37.72"/>
    <x v="1"/>
  </r>
  <r>
    <x v="56"/>
    <s v="April"/>
    <x v="0"/>
    <x v="379"/>
    <x v="2"/>
    <x v="0"/>
    <x v="8"/>
    <n v="37.72"/>
    <x v="4"/>
  </r>
  <r>
    <x v="57"/>
    <s v="April"/>
    <x v="1"/>
    <x v="380"/>
    <x v="1"/>
    <x v="0"/>
    <x v="8"/>
    <n v="37.72"/>
    <x v="7"/>
  </r>
  <r>
    <x v="58"/>
    <s v="April"/>
    <x v="2"/>
    <x v="381"/>
    <x v="0"/>
    <x v="0"/>
    <x v="0"/>
    <n v="37.72"/>
    <x v="0"/>
  </r>
  <r>
    <x v="58"/>
    <s v="April"/>
    <x v="2"/>
    <x v="382"/>
    <x v="1"/>
    <x v="0"/>
    <x v="140"/>
    <n v="37.72"/>
    <x v="7"/>
  </r>
  <r>
    <x v="58"/>
    <s v="April"/>
    <x v="2"/>
    <x v="383"/>
    <x v="2"/>
    <x v="0"/>
    <x v="12"/>
    <n v="27.92"/>
    <x v="2"/>
  </r>
  <r>
    <x v="58"/>
    <s v="April"/>
    <x v="2"/>
    <x v="384"/>
    <x v="2"/>
    <x v="0"/>
    <x v="12"/>
    <n v="27.92"/>
    <x v="2"/>
  </r>
  <r>
    <x v="58"/>
    <s v="April"/>
    <x v="2"/>
    <x v="385"/>
    <x v="2"/>
    <x v="0"/>
    <x v="19"/>
    <n v="37.72"/>
    <x v="0"/>
  </r>
  <r>
    <x v="59"/>
    <s v="April"/>
    <x v="3"/>
    <x v="386"/>
    <x v="0"/>
    <x v="0"/>
    <x v="141"/>
    <n v="27.92"/>
    <x v="5"/>
  </r>
  <r>
    <x v="59"/>
    <s v="April"/>
    <x v="3"/>
    <x v="387"/>
    <x v="1"/>
    <x v="0"/>
    <x v="2"/>
    <n v="27.92"/>
    <x v="2"/>
  </r>
  <r>
    <x v="59"/>
    <s v="April"/>
    <x v="3"/>
    <x v="388"/>
    <x v="1"/>
    <x v="0"/>
    <x v="2"/>
    <n v="27.92"/>
    <x v="5"/>
  </r>
  <r>
    <x v="59"/>
    <s v="April"/>
    <x v="3"/>
    <x v="389"/>
    <x v="1"/>
    <x v="0"/>
    <x v="141"/>
    <n v="27.92"/>
    <x v="5"/>
  </r>
  <r>
    <x v="59"/>
    <s v="April"/>
    <x v="3"/>
    <x v="390"/>
    <x v="1"/>
    <x v="0"/>
    <x v="141"/>
    <n v="32.82"/>
    <x v="3"/>
  </r>
  <r>
    <x v="59"/>
    <s v="April"/>
    <x v="3"/>
    <x v="391"/>
    <x v="2"/>
    <x v="0"/>
    <x v="140"/>
    <n v="37.72"/>
    <x v="7"/>
  </r>
  <r>
    <x v="59"/>
    <s v="April"/>
    <x v="3"/>
    <x v="392"/>
    <x v="2"/>
    <x v="0"/>
    <x v="134"/>
    <n v="37.72"/>
    <x v="7"/>
  </r>
  <r>
    <x v="59"/>
    <s v="April"/>
    <x v="3"/>
    <x v="393"/>
    <x v="2"/>
    <x v="0"/>
    <x v="134"/>
    <n v="37.72"/>
    <x v="7"/>
  </r>
  <r>
    <x v="60"/>
    <s v="April"/>
    <x v="4"/>
    <x v="394"/>
    <x v="0"/>
    <x v="0"/>
    <x v="142"/>
    <n v="37.72"/>
    <x v="0"/>
  </r>
  <r>
    <x v="60"/>
    <s v="April"/>
    <x v="4"/>
    <x v="395"/>
    <x v="0"/>
    <x v="0"/>
    <x v="142"/>
    <n v="32.82"/>
    <x v="3"/>
  </r>
  <r>
    <x v="60"/>
    <s v="April"/>
    <x v="4"/>
    <x v="396"/>
    <x v="0"/>
    <x v="0"/>
    <x v="142"/>
    <n v="32.82"/>
    <x v="3"/>
  </r>
  <r>
    <x v="60"/>
    <s v="April"/>
    <x v="4"/>
    <x v="397"/>
    <x v="1"/>
    <x v="0"/>
    <x v="142"/>
    <n v="27.92"/>
    <x v="2"/>
  </r>
  <r>
    <x v="60"/>
    <s v="April"/>
    <x v="4"/>
    <x v="398"/>
    <x v="1"/>
    <x v="0"/>
    <x v="142"/>
    <n v="32.82"/>
    <x v="3"/>
  </r>
  <r>
    <x v="60"/>
    <s v="April"/>
    <x v="4"/>
    <x v="399"/>
    <x v="2"/>
    <x v="0"/>
    <x v="142"/>
    <n v="37.72"/>
    <x v="7"/>
  </r>
  <r>
    <x v="60"/>
    <s v="April"/>
    <x v="4"/>
    <x v="400"/>
    <x v="2"/>
    <x v="0"/>
    <x v="142"/>
    <n v="32.82"/>
    <x v="3"/>
  </r>
  <r>
    <x v="60"/>
    <s v="April"/>
    <x v="4"/>
    <x v="401"/>
    <x v="2"/>
    <x v="0"/>
    <x v="142"/>
    <n v="37.72"/>
    <x v="0"/>
  </r>
  <r>
    <x v="61"/>
    <s v="May"/>
    <x v="6"/>
    <x v="402"/>
    <x v="0"/>
    <x v="0"/>
    <x v="143"/>
    <n v="27.92"/>
    <x v="2"/>
  </r>
  <r>
    <x v="61"/>
    <s v="May"/>
    <x v="6"/>
    <x v="403"/>
    <x v="0"/>
    <x v="1"/>
    <x v="10"/>
    <n v="39"/>
    <x v="0"/>
  </r>
  <r>
    <x v="61"/>
    <s v="May"/>
    <x v="6"/>
    <x v="404"/>
    <x v="1"/>
    <x v="0"/>
    <x v="133"/>
    <n v="32.82"/>
    <x v="3"/>
  </r>
  <r>
    <x v="61"/>
    <s v="May"/>
    <x v="6"/>
    <x v="405"/>
    <x v="2"/>
    <x v="0"/>
    <x v="144"/>
    <n v="37.72"/>
    <x v="7"/>
  </r>
  <r>
    <x v="61"/>
    <s v="May"/>
    <x v="6"/>
    <x v="406"/>
    <x v="2"/>
    <x v="0"/>
    <x v="24"/>
    <n v="32.82"/>
    <x v="3"/>
  </r>
  <r>
    <x v="61"/>
    <s v="May"/>
    <x v="6"/>
    <x v="407"/>
    <x v="2"/>
    <x v="0"/>
    <x v="145"/>
    <n v="37.72"/>
    <x v="0"/>
  </r>
  <r>
    <x v="61"/>
    <s v="May"/>
    <x v="6"/>
    <x v="408"/>
    <x v="2"/>
    <x v="0"/>
    <x v="145"/>
    <n v="37.72"/>
    <x v="7"/>
  </r>
  <r>
    <x v="62"/>
    <s v="May"/>
    <x v="0"/>
    <x v="409"/>
    <x v="0"/>
    <x v="1"/>
    <x v="10"/>
    <n v="39"/>
    <x v="0"/>
  </r>
  <r>
    <x v="62"/>
    <s v="May"/>
    <x v="0"/>
    <x v="410"/>
    <x v="1"/>
    <x v="0"/>
    <x v="146"/>
    <n v="37.72"/>
    <x v="0"/>
  </r>
  <r>
    <x v="62"/>
    <s v="May"/>
    <x v="0"/>
    <x v="411"/>
    <x v="2"/>
    <x v="0"/>
    <x v="147"/>
    <n v="37.72"/>
    <x v="0"/>
  </r>
  <r>
    <x v="63"/>
    <s v="May"/>
    <x v="3"/>
    <x v="412"/>
    <x v="0"/>
    <x v="0"/>
    <x v="148"/>
    <n v="27.92"/>
    <x v="2"/>
  </r>
  <r>
    <x v="63"/>
    <s v="May"/>
    <x v="3"/>
    <x v="413"/>
    <x v="0"/>
    <x v="0"/>
    <x v="149"/>
    <n v="37.72"/>
    <x v="7"/>
  </r>
  <r>
    <x v="63"/>
    <s v="May"/>
    <x v="3"/>
    <x v="414"/>
    <x v="0"/>
    <x v="0"/>
    <x v="149"/>
    <n v="32.82"/>
    <x v="3"/>
  </r>
  <r>
    <x v="63"/>
    <s v="May"/>
    <x v="3"/>
    <x v="415"/>
    <x v="0"/>
    <x v="0"/>
    <x v="150"/>
    <n v="27.92"/>
    <x v="2"/>
  </r>
  <r>
    <x v="63"/>
    <s v="May"/>
    <x v="3"/>
    <x v="416"/>
    <x v="0"/>
    <x v="0"/>
    <x v="141"/>
    <n v="27.92"/>
    <x v="5"/>
  </r>
  <r>
    <x v="63"/>
    <s v="May"/>
    <x v="3"/>
    <x v="417"/>
    <x v="0"/>
    <x v="1"/>
    <x v="10"/>
    <n v="29"/>
    <x v="2"/>
  </r>
  <r>
    <x v="63"/>
    <s v="May"/>
    <x v="3"/>
    <x v="418"/>
    <x v="1"/>
    <x v="0"/>
    <x v="148"/>
    <n v="27.92"/>
    <x v="5"/>
  </r>
  <r>
    <x v="63"/>
    <s v="May"/>
    <x v="3"/>
    <x v="419"/>
    <x v="1"/>
    <x v="0"/>
    <x v="148"/>
    <n v="27.92"/>
    <x v="2"/>
  </r>
  <r>
    <x v="63"/>
    <s v="May"/>
    <x v="3"/>
    <x v="420"/>
    <x v="2"/>
    <x v="0"/>
    <x v="151"/>
    <n v="37.72"/>
    <x v="7"/>
  </r>
  <r>
    <x v="63"/>
    <s v="May"/>
    <x v="3"/>
    <x v="421"/>
    <x v="2"/>
    <x v="0"/>
    <x v="151"/>
    <n v="37.72"/>
    <x v="7"/>
  </r>
  <r>
    <x v="64"/>
    <s v="May"/>
    <x v="4"/>
    <x v="422"/>
    <x v="0"/>
    <x v="0"/>
    <x v="148"/>
    <n v="37.72"/>
    <x v="4"/>
  </r>
  <r>
    <x v="64"/>
    <s v="May"/>
    <x v="4"/>
    <x v="423"/>
    <x v="0"/>
    <x v="0"/>
    <x v="141"/>
    <n v="27.92"/>
    <x v="5"/>
  </r>
  <r>
    <x v="64"/>
    <s v="May"/>
    <x v="4"/>
    <x v="424"/>
    <x v="1"/>
    <x v="0"/>
    <x v="77"/>
    <n v="27.92"/>
    <x v="5"/>
  </r>
  <r>
    <x v="64"/>
    <s v="May"/>
    <x v="4"/>
    <x v="425"/>
    <x v="2"/>
    <x v="0"/>
    <x v="148"/>
    <n v="37.72"/>
    <x v="4"/>
  </r>
  <r>
    <x v="64"/>
    <s v="May"/>
    <x v="4"/>
    <x v="426"/>
    <x v="2"/>
    <x v="0"/>
    <x v="152"/>
    <n v="27.92"/>
    <x v="2"/>
  </r>
  <r>
    <x v="64"/>
    <s v="May"/>
    <x v="4"/>
    <x v="427"/>
    <x v="2"/>
    <x v="0"/>
    <x v="153"/>
    <n v="37.72"/>
    <x v="7"/>
  </r>
  <r>
    <x v="64"/>
    <s v="May"/>
    <x v="4"/>
    <x v="428"/>
    <x v="2"/>
    <x v="0"/>
    <x v="153"/>
    <n v="37.72"/>
    <x v="0"/>
  </r>
  <r>
    <x v="64"/>
    <s v="May"/>
    <x v="4"/>
    <x v="429"/>
    <x v="2"/>
    <x v="1"/>
    <x v="10"/>
    <n v="34"/>
    <x v="3"/>
  </r>
  <r>
    <x v="64"/>
    <s v="May"/>
    <x v="4"/>
    <x v="430"/>
    <x v="2"/>
    <x v="0"/>
    <x v="154"/>
    <n v="37.72"/>
    <x v="7"/>
  </r>
  <r>
    <x v="64"/>
    <s v="May"/>
    <x v="4"/>
    <x v="431"/>
    <x v="2"/>
    <x v="0"/>
    <x v="154"/>
    <n v="37.72"/>
    <x v="7"/>
  </r>
  <r>
    <x v="65"/>
    <s v="May"/>
    <x v="5"/>
    <x v="432"/>
    <x v="0"/>
    <x v="0"/>
    <x v="0"/>
    <n v="37.72"/>
    <x v="0"/>
  </r>
  <r>
    <x v="66"/>
    <s v="May"/>
    <x v="6"/>
    <x v="433"/>
    <x v="1"/>
    <x v="0"/>
    <x v="155"/>
    <n v="37.72"/>
    <x v="7"/>
  </r>
  <r>
    <x v="66"/>
    <s v="May"/>
    <x v="6"/>
    <x v="434"/>
    <x v="1"/>
    <x v="0"/>
    <x v="156"/>
    <n v="27.92"/>
    <x v="2"/>
  </r>
  <r>
    <x v="66"/>
    <s v="May"/>
    <x v="6"/>
    <x v="435"/>
    <x v="1"/>
    <x v="0"/>
    <x v="156"/>
    <n v="37.72"/>
    <x v="0"/>
  </r>
  <r>
    <x v="66"/>
    <s v="May"/>
    <x v="6"/>
    <x v="436"/>
    <x v="1"/>
    <x v="0"/>
    <x v="156"/>
    <n v="37.72"/>
    <x v="0"/>
  </r>
  <r>
    <x v="66"/>
    <s v="May"/>
    <x v="6"/>
    <x v="437"/>
    <x v="1"/>
    <x v="0"/>
    <x v="156"/>
    <n v="37.72"/>
    <x v="0"/>
  </r>
  <r>
    <x v="66"/>
    <s v="May"/>
    <x v="6"/>
    <x v="438"/>
    <x v="2"/>
    <x v="0"/>
    <x v="118"/>
    <n v="27.92"/>
    <x v="2"/>
  </r>
  <r>
    <x v="66"/>
    <s v="May"/>
    <x v="6"/>
    <x v="439"/>
    <x v="2"/>
    <x v="0"/>
    <x v="118"/>
    <n v="27.92"/>
    <x v="2"/>
  </r>
  <r>
    <x v="66"/>
    <s v="May"/>
    <x v="6"/>
    <x v="440"/>
    <x v="2"/>
    <x v="0"/>
    <x v="157"/>
    <n v="27.92"/>
    <x v="2"/>
  </r>
  <r>
    <x v="66"/>
    <s v="May"/>
    <x v="6"/>
    <x v="441"/>
    <x v="2"/>
    <x v="0"/>
    <x v="143"/>
    <n v="32.82"/>
    <x v="3"/>
  </r>
  <r>
    <x v="67"/>
    <s v="May"/>
    <x v="0"/>
    <x v="442"/>
    <x v="0"/>
    <x v="1"/>
    <x v="10"/>
    <n v="39"/>
    <x v="0"/>
  </r>
  <r>
    <x v="67"/>
    <s v="May"/>
    <x v="0"/>
    <x v="443"/>
    <x v="1"/>
    <x v="0"/>
    <x v="158"/>
    <n v="37.72"/>
    <x v="0"/>
  </r>
  <r>
    <x v="67"/>
    <s v="May"/>
    <x v="0"/>
    <x v="444"/>
    <x v="1"/>
    <x v="0"/>
    <x v="158"/>
    <n v="37.72"/>
    <x v="0"/>
  </r>
  <r>
    <x v="67"/>
    <s v="May"/>
    <x v="0"/>
    <x v="445"/>
    <x v="2"/>
    <x v="1"/>
    <x v="10"/>
    <n v="34"/>
    <x v="3"/>
  </r>
  <r>
    <x v="68"/>
    <s v="May"/>
    <x v="1"/>
    <x v="446"/>
    <x v="0"/>
    <x v="0"/>
    <x v="69"/>
    <n v="37.72"/>
    <x v="0"/>
  </r>
  <r>
    <x v="68"/>
    <s v="May"/>
    <x v="1"/>
    <x v="447"/>
    <x v="2"/>
    <x v="1"/>
    <x v="10"/>
    <n v="39"/>
    <x v="0"/>
  </r>
  <r>
    <x v="68"/>
    <s v="May"/>
    <x v="1"/>
    <x v="448"/>
    <x v="2"/>
    <x v="0"/>
    <x v="8"/>
    <n v="32.82"/>
    <x v="3"/>
  </r>
  <r>
    <x v="68"/>
    <s v="May"/>
    <x v="1"/>
    <x v="449"/>
    <x v="2"/>
    <x v="0"/>
    <x v="26"/>
    <n v="37.72"/>
    <x v="4"/>
  </r>
  <r>
    <x v="68"/>
    <s v="May"/>
    <x v="1"/>
    <x v="450"/>
    <x v="2"/>
    <x v="0"/>
    <x v="40"/>
    <n v="37.72"/>
    <x v="7"/>
  </r>
  <r>
    <x v="68"/>
    <s v="May"/>
    <x v="1"/>
    <x v="451"/>
    <x v="2"/>
    <x v="0"/>
    <x v="12"/>
    <n v="32.82"/>
    <x v="3"/>
  </r>
  <r>
    <x v="68"/>
    <s v="May"/>
    <x v="1"/>
    <x v="452"/>
    <x v="2"/>
    <x v="0"/>
    <x v="115"/>
    <n v="37.72"/>
    <x v="7"/>
  </r>
  <r>
    <x v="68"/>
    <s v="May"/>
    <x v="1"/>
    <x v="453"/>
    <x v="2"/>
    <x v="0"/>
    <x v="159"/>
    <n v="37.72"/>
    <x v="0"/>
  </r>
  <r>
    <x v="69"/>
    <s v="May"/>
    <x v="2"/>
    <x v="454"/>
    <x v="0"/>
    <x v="0"/>
    <x v="0"/>
    <n v="37.72"/>
    <x v="0"/>
  </r>
  <r>
    <x v="69"/>
    <s v="May"/>
    <x v="2"/>
    <x v="455"/>
    <x v="1"/>
    <x v="0"/>
    <x v="160"/>
    <n v="37.72"/>
    <x v="0"/>
  </r>
  <r>
    <x v="69"/>
    <s v="May"/>
    <x v="2"/>
    <x v="456"/>
    <x v="1"/>
    <x v="0"/>
    <x v="161"/>
    <n v="27.92"/>
    <x v="2"/>
  </r>
  <r>
    <x v="69"/>
    <s v="May"/>
    <x v="2"/>
    <x v="457"/>
    <x v="1"/>
    <x v="0"/>
    <x v="77"/>
    <n v="37.72"/>
    <x v="0"/>
  </r>
  <r>
    <x v="69"/>
    <s v="May"/>
    <x v="2"/>
    <x v="458"/>
    <x v="1"/>
    <x v="0"/>
    <x v="162"/>
    <n v="32.82"/>
    <x v="3"/>
  </r>
  <r>
    <x v="69"/>
    <s v="May"/>
    <x v="2"/>
    <x v="459"/>
    <x v="1"/>
    <x v="0"/>
    <x v="163"/>
    <n v="32.82"/>
    <x v="3"/>
  </r>
  <r>
    <x v="69"/>
    <s v="May"/>
    <x v="2"/>
    <x v="460"/>
    <x v="2"/>
    <x v="0"/>
    <x v="12"/>
    <n v="32.82"/>
    <x v="3"/>
  </r>
  <r>
    <x v="69"/>
    <s v="May"/>
    <x v="2"/>
    <x v="461"/>
    <x v="2"/>
    <x v="0"/>
    <x v="8"/>
    <n v="32.82"/>
    <x v="3"/>
  </r>
  <r>
    <x v="70"/>
    <s v="May"/>
    <x v="3"/>
    <x v="462"/>
    <x v="0"/>
    <x v="0"/>
    <x v="164"/>
    <n v="32.82"/>
    <x v="3"/>
  </r>
  <r>
    <x v="70"/>
    <s v="May"/>
    <x v="3"/>
    <x v="463"/>
    <x v="1"/>
    <x v="1"/>
    <x v="10"/>
    <n v="29"/>
    <x v="2"/>
  </r>
  <r>
    <x v="70"/>
    <s v="May"/>
    <x v="3"/>
    <x v="464"/>
    <x v="1"/>
    <x v="1"/>
    <x v="10"/>
    <n v="29"/>
    <x v="2"/>
  </r>
  <r>
    <x v="71"/>
    <s v="May"/>
    <x v="4"/>
    <x v="465"/>
    <x v="0"/>
    <x v="0"/>
    <x v="12"/>
    <n v="27.92"/>
    <x v="2"/>
  </r>
  <r>
    <x v="71"/>
    <s v="May"/>
    <x v="4"/>
    <x v="466"/>
    <x v="0"/>
    <x v="0"/>
    <x v="12"/>
    <n v="27.92"/>
    <x v="2"/>
  </r>
  <r>
    <x v="71"/>
    <s v="May"/>
    <x v="4"/>
    <x v="467"/>
    <x v="0"/>
    <x v="0"/>
    <x v="12"/>
    <n v="27.92"/>
    <x v="2"/>
  </r>
  <r>
    <x v="71"/>
    <s v="May"/>
    <x v="4"/>
    <x v="468"/>
    <x v="0"/>
    <x v="0"/>
    <x v="12"/>
    <n v="37.72"/>
    <x v="7"/>
  </r>
  <r>
    <x v="71"/>
    <s v="May"/>
    <x v="4"/>
    <x v="469"/>
    <x v="0"/>
    <x v="0"/>
    <x v="165"/>
    <n v="37.72"/>
    <x v="0"/>
  </r>
  <r>
    <x v="71"/>
    <s v="May"/>
    <x v="4"/>
    <x v="470"/>
    <x v="0"/>
    <x v="0"/>
    <x v="165"/>
    <n v="37.72"/>
    <x v="7"/>
  </r>
  <r>
    <x v="71"/>
    <s v="May"/>
    <x v="4"/>
    <x v="471"/>
    <x v="1"/>
    <x v="0"/>
    <x v="25"/>
    <n v="37.72"/>
    <x v="7"/>
  </r>
  <r>
    <x v="71"/>
    <s v="May"/>
    <x v="4"/>
    <x v="472"/>
    <x v="1"/>
    <x v="0"/>
    <x v="8"/>
    <n v="32.82"/>
    <x v="3"/>
  </r>
  <r>
    <x v="71"/>
    <s v="May"/>
    <x v="4"/>
    <x v="473"/>
    <x v="1"/>
    <x v="0"/>
    <x v="40"/>
    <n v="27.92"/>
    <x v="2"/>
  </r>
  <r>
    <x v="71"/>
    <s v="May"/>
    <x v="4"/>
    <x v="474"/>
    <x v="2"/>
    <x v="0"/>
    <x v="166"/>
    <n v="32.82"/>
    <x v="3"/>
  </r>
  <r>
    <x v="71"/>
    <s v="May"/>
    <x v="4"/>
    <x v="475"/>
    <x v="2"/>
    <x v="0"/>
    <x v="166"/>
    <n v="37.72"/>
    <x v="7"/>
  </r>
  <r>
    <x v="71"/>
    <s v="May"/>
    <x v="4"/>
    <x v="476"/>
    <x v="3"/>
    <x v="0"/>
    <x v="167"/>
    <n v="37.72"/>
    <x v="1"/>
  </r>
  <r>
    <x v="72"/>
    <s v="May"/>
    <x v="5"/>
    <x v="477"/>
    <x v="0"/>
    <x v="0"/>
    <x v="168"/>
    <n v="37.72"/>
    <x v="0"/>
  </r>
  <r>
    <x v="72"/>
    <s v="May"/>
    <x v="5"/>
    <x v="478"/>
    <x v="0"/>
    <x v="0"/>
    <x v="12"/>
    <n v="23.02"/>
    <x v="6"/>
  </r>
  <r>
    <x v="72"/>
    <s v="May"/>
    <x v="5"/>
    <x v="479"/>
    <x v="0"/>
    <x v="0"/>
    <x v="12"/>
    <n v="27.92"/>
    <x v="2"/>
  </r>
  <r>
    <x v="72"/>
    <s v="May"/>
    <x v="5"/>
    <x v="480"/>
    <x v="1"/>
    <x v="0"/>
    <x v="2"/>
    <n v="27.92"/>
    <x v="2"/>
  </r>
  <r>
    <x v="72"/>
    <s v="May"/>
    <x v="5"/>
    <x v="481"/>
    <x v="1"/>
    <x v="0"/>
    <x v="2"/>
    <n v="27.92"/>
    <x v="2"/>
  </r>
  <r>
    <x v="72"/>
    <s v="May"/>
    <x v="5"/>
    <x v="482"/>
    <x v="1"/>
    <x v="0"/>
    <x v="2"/>
    <n v="27.92"/>
    <x v="2"/>
  </r>
  <r>
    <x v="72"/>
    <s v="May"/>
    <x v="5"/>
    <x v="483"/>
    <x v="1"/>
    <x v="0"/>
    <x v="164"/>
    <n v="32.82"/>
    <x v="3"/>
  </r>
  <r>
    <x v="72"/>
    <s v="May"/>
    <x v="5"/>
    <x v="484"/>
    <x v="1"/>
    <x v="1"/>
    <x v="10"/>
    <n v="29"/>
    <x v="2"/>
  </r>
  <r>
    <x v="72"/>
    <s v="May"/>
    <x v="5"/>
    <x v="485"/>
    <x v="1"/>
    <x v="0"/>
    <x v="169"/>
    <n v="27.92"/>
    <x v="5"/>
  </r>
  <r>
    <x v="72"/>
    <s v="May"/>
    <x v="5"/>
    <x v="486"/>
    <x v="1"/>
    <x v="0"/>
    <x v="12"/>
    <n v="27.92"/>
    <x v="5"/>
  </r>
  <r>
    <x v="72"/>
    <s v="May"/>
    <x v="5"/>
    <x v="487"/>
    <x v="2"/>
    <x v="0"/>
    <x v="170"/>
    <n v="23.02"/>
    <x v="6"/>
  </r>
  <r>
    <x v="72"/>
    <s v="May"/>
    <x v="5"/>
    <x v="488"/>
    <x v="3"/>
    <x v="0"/>
    <x v="171"/>
    <n v="37.72"/>
    <x v="7"/>
  </r>
  <r>
    <x v="73"/>
    <s v="May"/>
    <x v="6"/>
    <x v="489"/>
    <x v="0"/>
    <x v="0"/>
    <x v="97"/>
    <n v="32.82"/>
    <x v="3"/>
  </r>
  <r>
    <x v="73"/>
    <s v="May"/>
    <x v="6"/>
    <x v="490"/>
    <x v="0"/>
    <x v="0"/>
    <x v="172"/>
    <n v="32.82"/>
    <x v="3"/>
  </r>
  <r>
    <x v="73"/>
    <s v="May"/>
    <x v="6"/>
    <x v="491"/>
    <x v="0"/>
    <x v="1"/>
    <x v="10"/>
    <n v="39"/>
    <x v="0"/>
  </r>
  <r>
    <x v="73"/>
    <s v="May"/>
    <x v="6"/>
    <x v="492"/>
    <x v="0"/>
    <x v="1"/>
    <x v="10"/>
    <n v="39"/>
    <x v="7"/>
  </r>
  <r>
    <x v="73"/>
    <s v="May"/>
    <x v="6"/>
    <x v="493"/>
    <x v="1"/>
    <x v="0"/>
    <x v="173"/>
    <n v="32.82"/>
    <x v="3"/>
  </r>
  <r>
    <x v="73"/>
    <s v="May"/>
    <x v="6"/>
    <x v="494"/>
    <x v="1"/>
    <x v="0"/>
    <x v="174"/>
    <n v="37.72"/>
    <x v="1"/>
  </r>
  <r>
    <x v="73"/>
    <s v="May"/>
    <x v="6"/>
    <x v="495"/>
    <x v="2"/>
    <x v="0"/>
    <x v="69"/>
    <n v="37.72"/>
    <x v="0"/>
  </r>
  <r>
    <x v="73"/>
    <s v="May"/>
    <x v="6"/>
    <x v="496"/>
    <x v="2"/>
    <x v="0"/>
    <x v="175"/>
    <n v="37.72"/>
    <x v="1"/>
  </r>
  <r>
    <x v="73"/>
    <s v="May"/>
    <x v="6"/>
    <x v="497"/>
    <x v="2"/>
    <x v="0"/>
    <x v="175"/>
    <n v="37.72"/>
    <x v="0"/>
  </r>
  <r>
    <x v="74"/>
    <s v="May"/>
    <x v="0"/>
    <x v="498"/>
    <x v="0"/>
    <x v="0"/>
    <x v="33"/>
    <n v="27.92"/>
    <x v="2"/>
  </r>
  <r>
    <x v="74"/>
    <s v="May"/>
    <x v="0"/>
    <x v="499"/>
    <x v="0"/>
    <x v="0"/>
    <x v="164"/>
    <n v="32.82"/>
    <x v="3"/>
  </r>
  <r>
    <x v="74"/>
    <s v="May"/>
    <x v="0"/>
    <x v="500"/>
    <x v="1"/>
    <x v="1"/>
    <x v="10"/>
    <n v="34"/>
    <x v="3"/>
  </r>
  <r>
    <x v="74"/>
    <s v="May"/>
    <x v="0"/>
    <x v="501"/>
    <x v="2"/>
    <x v="0"/>
    <x v="12"/>
    <n v="32.82"/>
    <x v="3"/>
  </r>
  <r>
    <x v="74"/>
    <s v="May"/>
    <x v="0"/>
    <x v="502"/>
    <x v="2"/>
    <x v="0"/>
    <x v="8"/>
    <n v="37.72"/>
    <x v="7"/>
  </r>
  <r>
    <x v="74"/>
    <s v="May"/>
    <x v="0"/>
    <x v="503"/>
    <x v="3"/>
    <x v="0"/>
    <x v="176"/>
    <n v="37.72"/>
    <x v="7"/>
  </r>
  <r>
    <x v="74"/>
    <s v="May"/>
    <x v="0"/>
    <x v="504"/>
    <x v="3"/>
    <x v="0"/>
    <x v="177"/>
    <n v="27.92"/>
    <x v="2"/>
  </r>
  <r>
    <x v="74"/>
    <s v="May"/>
    <x v="0"/>
    <x v="505"/>
    <x v="3"/>
    <x v="0"/>
    <x v="178"/>
    <n v="37.72"/>
    <x v="0"/>
  </r>
  <r>
    <x v="74"/>
    <s v="May"/>
    <x v="0"/>
    <x v="506"/>
    <x v="3"/>
    <x v="0"/>
    <x v="179"/>
    <n v="37.72"/>
    <x v="0"/>
  </r>
  <r>
    <x v="75"/>
    <s v="May"/>
    <x v="1"/>
    <x v="507"/>
    <x v="0"/>
    <x v="0"/>
    <x v="180"/>
    <n v="37.72"/>
    <x v="7"/>
  </r>
  <r>
    <x v="75"/>
    <s v="May"/>
    <x v="1"/>
    <x v="508"/>
    <x v="0"/>
    <x v="0"/>
    <x v="180"/>
    <n v="37.72"/>
    <x v="7"/>
  </r>
  <r>
    <x v="75"/>
    <s v="May"/>
    <x v="1"/>
    <x v="509"/>
    <x v="0"/>
    <x v="0"/>
    <x v="181"/>
    <n v="32.82"/>
    <x v="3"/>
  </r>
  <r>
    <x v="75"/>
    <s v="May"/>
    <x v="1"/>
    <x v="510"/>
    <x v="2"/>
    <x v="0"/>
    <x v="172"/>
    <n v="32.82"/>
    <x v="3"/>
  </r>
  <r>
    <x v="75"/>
    <s v="May"/>
    <x v="1"/>
    <x v="511"/>
    <x v="2"/>
    <x v="0"/>
    <x v="97"/>
    <n v="32.82"/>
    <x v="3"/>
  </r>
  <r>
    <x v="75"/>
    <s v="May"/>
    <x v="1"/>
    <x v="512"/>
    <x v="2"/>
    <x v="0"/>
    <x v="40"/>
    <n v="32.82"/>
    <x v="3"/>
  </r>
  <r>
    <x v="75"/>
    <s v="May"/>
    <x v="1"/>
    <x v="513"/>
    <x v="3"/>
    <x v="0"/>
    <x v="8"/>
    <n v="37.72"/>
    <x v="0"/>
  </r>
  <r>
    <x v="75"/>
    <s v="May"/>
    <x v="1"/>
    <x v="514"/>
    <x v="3"/>
    <x v="1"/>
    <x v="10"/>
    <n v="39"/>
    <x v="7"/>
  </r>
  <r>
    <x v="76"/>
    <s v="May"/>
    <x v="2"/>
    <x v="515"/>
    <x v="0"/>
    <x v="0"/>
    <x v="182"/>
    <n v="27.92"/>
    <x v="2"/>
  </r>
  <r>
    <x v="76"/>
    <s v="May"/>
    <x v="2"/>
    <x v="516"/>
    <x v="0"/>
    <x v="0"/>
    <x v="182"/>
    <n v="27.92"/>
    <x v="2"/>
  </r>
  <r>
    <x v="76"/>
    <s v="May"/>
    <x v="2"/>
    <x v="517"/>
    <x v="0"/>
    <x v="0"/>
    <x v="183"/>
    <n v="37.72"/>
    <x v="7"/>
  </r>
  <r>
    <x v="76"/>
    <s v="May"/>
    <x v="2"/>
    <x v="518"/>
    <x v="0"/>
    <x v="1"/>
    <x v="10"/>
    <n v="24"/>
    <x v="6"/>
  </r>
  <r>
    <x v="76"/>
    <s v="May"/>
    <x v="2"/>
    <x v="519"/>
    <x v="1"/>
    <x v="0"/>
    <x v="184"/>
    <n v="32.82"/>
    <x v="3"/>
  </r>
  <r>
    <x v="76"/>
    <s v="May"/>
    <x v="2"/>
    <x v="520"/>
    <x v="1"/>
    <x v="0"/>
    <x v="12"/>
    <n v="27.92"/>
    <x v="2"/>
  </r>
  <r>
    <x v="76"/>
    <s v="May"/>
    <x v="2"/>
    <x v="521"/>
    <x v="1"/>
    <x v="0"/>
    <x v="185"/>
    <n v="32.82"/>
    <x v="3"/>
  </r>
  <r>
    <x v="76"/>
    <s v="May"/>
    <x v="2"/>
    <x v="522"/>
    <x v="2"/>
    <x v="0"/>
    <x v="186"/>
    <n v="32.82"/>
    <x v="3"/>
  </r>
  <r>
    <x v="76"/>
    <s v="May"/>
    <x v="2"/>
    <x v="523"/>
    <x v="2"/>
    <x v="0"/>
    <x v="186"/>
    <n v="23.02"/>
    <x v="6"/>
  </r>
  <r>
    <x v="76"/>
    <s v="May"/>
    <x v="2"/>
    <x v="524"/>
    <x v="2"/>
    <x v="0"/>
    <x v="186"/>
    <n v="37.72"/>
    <x v="1"/>
  </r>
  <r>
    <x v="76"/>
    <s v="May"/>
    <x v="2"/>
    <x v="525"/>
    <x v="2"/>
    <x v="0"/>
    <x v="187"/>
    <n v="37.72"/>
    <x v="7"/>
  </r>
  <r>
    <x v="76"/>
    <s v="May"/>
    <x v="2"/>
    <x v="526"/>
    <x v="3"/>
    <x v="0"/>
    <x v="188"/>
    <n v="37.72"/>
    <x v="7"/>
  </r>
  <r>
    <x v="76"/>
    <s v="May"/>
    <x v="2"/>
    <x v="527"/>
    <x v="3"/>
    <x v="0"/>
    <x v="189"/>
    <n v="37.72"/>
    <x v="7"/>
  </r>
  <r>
    <x v="77"/>
    <s v="May"/>
    <x v="3"/>
    <x v="528"/>
    <x v="0"/>
    <x v="0"/>
    <x v="190"/>
    <n v="32.82"/>
    <x v="3"/>
  </r>
  <r>
    <x v="77"/>
    <s v="May"/>
    <x v="3"/>
    <x v="529"/>
    <x v="0"/>
    <x v="0"/>
    <x v="191"/>
    <n v="37.72"/>
    <x v="0"/>
  </r>
  <r>
    <x v="77"/>
    <s v="May"/>
    <x v="3"/>
    <x v="530"/>
    <x v="0"/>
    <x v="0"/>
    <x v="0"/>
    <n v="37.72"/>
    <x v="0"/>
  </r>
  <r>
    <x v="77"/>
    <s v="May"/>
    <x v="3"/>
    <x v="531"/>
    <x v="0"/>
    <x v="0"/>
    <x v="143"/>
    <n v="27.92"/>
    <x v="2"/>
  </r>
  <r>
    <x v="77"/>
    <s v="May"/>
    <x v="3"/>
    <x v="532"/>
    <x v="0"/>
    <x v="0"/>
    <x v="143"/>
    <n v="27.92"/>
    <x v="2"/>
  </r>
  <r>
    <x v="77"/>
    <s v="May"/>
    <x v="3"/>
    <x v="533"/>
    <x v="1"/>
    <x v="0"/>
    <x v="2"/>
    <n v="27.92"/>
    <x v="2"/>
  </r>
  <r>
    <x v="77"/>
    <s v="May"/>
    <x v="3"/>
    <x v="534"/>
    <x v="1"/>
    <x v="0"/>
    <x v="2"/>
    <n v="27.92"/>
    <x v="2"/>
  </r>
  <r>
    <x v="77"/>
    <s v="May"/>
    <x v="3"/>
    <x v="535"/>
    <x v="1"/>
    <x v="0"/>
    <x v="192"/>
    <n v="32.82"/>
    <x v="3"/>
  </r>
  <r>
    <x v="77"/>
    <s v="May"/>
    <x v="3"/>
    <x v="536"/>
    <x v="1"/>
    <x v="0"/>
    <x v="192"/>
    <n v="37.72"/>
    <x v="7"/>
  </r>
  <r>
    <x v="77"/>
    <s v="May"/>
    <x v="3"/>
    <x v="537"/>
    <x v="1"/>
    <x v="1"/>
    <x v="10"/>
    <n v="29"/>
    <x v="2"/>
  </r>
  <r>
    <x v="77"/>
    <s v="May"/>
    <x v="3"/>
    <x v="538"/>
    <x v="2"/>
    <x v="0"/>
    <x v="120"/>
    <n v="37.72"/>
    <x v="0"/>
  </r>
  <r>
    <x v="77"/>
    <s v="May"/>
    <x v="3"/>
    <x v="539"/>
    <x v="2"/>
    <x v="0"/>
    <x v="193"/>
    <n v="37.72"/>
    <x v="0"/>
  </r>
  <r>
    <x v="77"/>
    <s v="May"/>
    <x v="3"/>
    <x v="540"/>
    <x v="3"/>
    <x v="0"/>
    <x v="194"/>
    <n v="32.82"/>
    <x v="3"/>
  </r>
  <r>
    <x v="77"/>
    <s v="May"/>
    <x v="3"/>
    <x v="541"/>
    <x v="3"/>
    <x v="0"/>
    <x v="194"/>
    <n v="37.72"/>
    <x v="4"/>
  </r>
  <r>
    <x v="77"/>
    <s v="May"/>
    <x v="3"/>
    <x v="542"/>
    <x v="3"/>
    <x v="0"/>
    <x v="195"/>
    <n v="27.92"/>
    <x v="5"/>
  </r>
  <r>
    <x v="77"/>
    <s v="May"/>
    <x v="3"/>
    <x v="543"/>
    <x v="3"/>
    <x v="0"/>
    <x v="12"/>
    <n v="32.82"/>
    <x v="3"/>
  </r>
  <r>
    <x v="77"/>
    <s v="May"/>
    <x v="3"/>
    <x v="544"/>
    <x v="3"/>
    <x v="0"/>
    <x v="12"/>
    <n v="32.82"/>
    <x v="3"/>
  </r>
  <r>
    <x v="78"/>
    <s v="May"/>
    <x v="4"/>
    <x v="545"/>
    <x v="0"/>
    <x v="0"/>
    <x v="196"/>
    <n v="37.72"/>
    <x v="0"/>
  </r>
  <r>
    <x v="78"/>
    <s v="May"/>
    <x v="4"/>
    <x v="546"/>
    <x v="0"/>
    <x v="1"/>
    <x v="10"/>
    <n v="29"/>
    <x v="2"/>
  </r>
  <r>
    <x v="78"/>
    <s v="May"/>
    <x v="4"/>
    <x v="547"/>
    <x v="0"/>
    <x v="1"/>
    <x v="10"/>
    <n v="34"/>
    <x v="3"/>
  </r>
  <r>
    <x v="78"/>
    <s v="May"/>
    <x v="4"/>
    <x v="548"/>
    <x v="0"/>
    <x v="1"/>
    <x v="10"/>
    <n v="39"/>
    <x v="4"/>
  </r>
  <r>
    <x v="78"/>
    <s v="May"/>
    <x v="4"/>
    <x v="549"/>
    <x v="0"/>
    <x v="1"/>
    <x v="10"/>
    <n v="39"/>
    <x v="0"/>
  </r>
  <r>
    <x v="78"/>
    <s v="May"/>
    <x v="4"/>
    <x v="550"/>
    <x v="2"/>
    <x v="0"/>
    <x v="197"/>
    <n v="37.72"/>
    <x v="0"/>
  </r>
  <r>
    <x v="78"/>
    <s v="May"/>
    <x v="4"/>
    <x v="551"/>
    <x v="2"/>
    <x v="0"/>
    <x v="12"/>
    <n v="23.02"/>
    <x v="6"/>
  </r>
  <r>
    <x v="78"/>
    <s v="May"/>
    <x v="4"/>
    <x v="552"/>
    <x v="2"/>
    <x v="0"/>
    <x v="198"/>
    <n v="37.72"/>
    <x v="7"/>
  </r>
  <r>
    <x v="78"/>
    <s v="May"/>
    <x v="4"/>
    <x v="553"/>
    <x v="3"/>
    <x v="0"/>
    <x v="199"/>
    <n v="37.72"/>
    <x v="7"/>
  </r>
  <r>
    <x v="79"/>
    <s v="May"/>
    <x v="5"/>
    <x v="554"/>
    <x v="0"/>
    <x v="0"/>
    <x v="200"/>
    <n v="37.72"/>
    <x v="7"/>
  </r>
  <r>
    <x v="79"/>
    <s v="May"/>
    <x v="5"/>
    <x v="555"/>
    <x v="0"/>
    <x v="0"/>
    <x v="191"/>
    <n v="32.82"/>
    <x v="3"/>
  </r>
  <r>
    <x v="79"/>
    <s v="May"/>
    <x v="5"/>
    <x v="556"/>
    <x v="0"/>
    <x v="0"/>
    <x v="141"/>
    <n v="27.92"/>
    <x v="5"/>
  </r>
  <r>
    <x v="79"/>
    <s v="May"/>
    <x v="5"/>
    <x v="557"/>
    <x v="0"/>
    <x v="0"/>
    <x v="97"/>
    <n v="32.82"/>
    <x v="3"/>
  </r>
  <r>
    <x v="79"/>
    <s v="May"/>
    <x v="5"/>
    <x v="558"/>
    <x v="1"/>
    <x v="0"/>
    <x v="12"/>
    <n v="27.92"/>
    <x v="2"/>
  </r>
  <r>
    <x v="79"/>
    <s v="May"/>
    <x v="5"/>
    <x v="559"/>
    <x v="1"/>
    <x v="0"/>
    <x v="12"/>
    <n v="27.92"/>
    <x v="2"/>
  </r>
  <r>
    <x v="79"/>
    <s v="May"/>
    <x v="5"/>
    <x v="560"/>
    <x v="1"/>
    <x v="0"/>
    <x v="8"/>
    <n v="32.82"/>
    <x v="3"/>
  </r>
  <r>
    <x v="79"/>
    <s v="May"/>
    <x v="5"/>
    <x v="561"/>
    <x v="2"/>
    <x v="0"/>
    <x v="134"/>
    <n v="37.72"/>
    <x v="7"/>
  </r>
  <r>
    <x v="79"/>
    <s v="May"/>
    <x v="5"/>
    <x v="562"/>
    <x v="2"/>
    <x v="0"/>
    <x v="134"/>
    <n v="37.72"/>
    <x v="7"/>
  </r>
  <r>
    <x v="79"/>
    <s v="May"/>
    <x v="5"/>
    <x v="563"/>
    <x v="3"/>
    <x v="0"/>
    <x v="180"/>
    <n v="37.72"/>
    <x v="1"/>
  </r>
  <r>
    <x v="79"/>
    <s v="May"/>
    <x v="5"/>
    <x v="564"/>
    <x v="3"/>
    <x v="0"/>
    <x v="180"/>
    <n v="37.72"/>
    <x v="7"/>
  </r>
  <r>
    <x v="80"/>
    <s v="May"/>
    <x v="6"/>
    <x v="565"/>
    <x v="0"/>
    <x v="0"/>
    <x v="201"/>
    <n v="37.72"/>
    <x v="7"/>
  </r>
  <r>
    <x v="80"/>
    <s v="May"/>
    <x v="6"/>
    <x v="566"/>
    <x v="1"/>
    <x v="0"/>
    <x v="202"/>
    <n v="23.02"/>
    <x v="6"/>
  </r>
  <r>
    <x v="80"/>
    <s v="May"/>
    <x v="6"/>
    <x v="567"/>
    <x v="1"/>
    <x v="0"/>
    <x v="180"/>
    <n v="37.72"/>
    <x v="7"/>
  </r>
  <r>
    <x v="80"/>
    <s v="May"/>
    <x v="6"/>
    <x v="568"/>
    <x v="1"/>
    <x v="0"/>
    <x v="203"/>
    <n v="37.72"/>
    <x v="7"/>
  </r>
  <r>
    <x v="80"/>
    <s v="May"/>
    <x v="6"/>
    <x v="569"/>
    <x v="2"/>
    <x v="0"/>
    <x v="180"/>
    <n v="37.72"/>
    <x v="7"/>
  </r>
  <r>
    <x v="80"/>
    <s v="May"/>
    <x v="6"/>
    <x v="570"/>
    <x v="2"/>
    <x v="0"/>
    <x v="77"/>
    <n v="37.72"/>
    <x v="0"/>
  </r>
  <r>
    <x v="80"/>
    <s v="May"/>
    <x v="6"/>
    <x v="571"/>
    <x v="2"/>
    <x v="0"/>
    <x v="153"/>
    <n v="37.72"/>
    <x v="7"/>
  </r>
  <r>
    <x v="80"/>
    <s v="May"/>
    <x v="6"/>
    <x v="572"/>
    <x v="2"/>
    <x v="0"/>
    <x v="153"/>
    <n v="37.72"/>
    <x v="0"/>
  </r>
  <r>
    <x v="80"/>
    <s v="May"/>
    <x v="6"/>
    <x v="573"/>
    <x v="2"/>
    <x v="0"/>
    <x v="204"/>
    <n v="27.92"/>
    <x v="5"/>
  </r>
  <r>
    <x v="80"/>
    <s v="May"/>
    <x v="6"/>
    <x v="574"/>
    <x v="2"/>
    <x v="0"/>
    <x v="134"/>
    <n v="37.72"/>
    <x v="7"/>
  </r>
  <r>
    <x v="80"/>
    <s v="May"/>
    <x v="6"/>
    <x v="575"/>
    <x v="2"/>
    <x v="0"/>
    <x v="205"/>
    <n v="37.72"/>
    <x v="7"/>
  </r>
  <r>
    <x v="80"/>
    <s v="May"/>
    <x v="6"/>
    <x v="576"/>
    <x v="2"/>
    <x v="0"/>
    <x v="206"/>
    <n v="37.72"/>
    <x v="7"/>
  </r>
  <r>
    <x v="80"/>
    <s v="May"/>
    <x v="6"/>
    <x v="577"/>
    <x v="3"/>
    <x v="0"/>
    <x v="207"/>
    <n v="37.72"/>
    <x v="7"/>
  </r>
  <r>
    <x v="80"/>
    <s v="May"/>
    <x v="6"/>
    <x v="578"/>
    <x v="3"/>
    <x v="0"/>
    <x v="207"/>
    <n v="37.72"/>
    <x v="0"/>
  </r>
  <r>
    <x v="80"/>
    <s v="May"/>
    <x v="6"/>
    <x v="579"/>
    <x v="3"/>
    <x v="0"/>
    <x v="208"/>
    <n v="32.82"/>
    <x v="3"/>
  </r>
  <r>
    <x v="80"/>
    <s v="May"/>
    <x v="6"/>
    <x v="580"/>
    <x v="3"/>
    <x v="1"/>
    <x v="10"/>
    <n v="39"/>
    <x v="1"/>
  </r>
  <r>
    <x v="81"/>
    <s v="May"/>
    <x v="0"/>
    <x v="581"/>
    <x v="0"/>
    <x v="0"/>
    <x v="141"/>
    <n v="27.92"/>
    <x v="5"/>
  </r>
  <r>
    <x v="81"/>
    <s v="May"/>
    <x v="0"/>
    <x v="582"/>
    <x v="0"/>
    <x v="0"/>
    <x v="12"/>
    <n v="27.92"/>
    <x v="2"/>
  </r>
  <r>
    <x v="81"/>
    <s v="May"/>
    <x v="0"/>
    <x v="583"/>
    <x v="0"/>
    <x v="0"/>
    <x v="12"/>
    <n v="27.92"/>
    <x v="2"/>
  </r>
  <r>
    <x v="81"/>
    <s v="May"/>
    <x v="0"/>
    <x v="584"/>
    <x v="2"/>
    <x v="0"/>
    <x v="81"/>
    <n v="37.72"/>
    <x v="1"/>
  </r>
  <r>
    <x v="81"/>
    <s v="May"/>
    <x v="0"/>
    <x v="585"/>
    <x v="2"/>
    <x v="0"/>
    <x v="209"/>
    <n v="27.92"/>
    <x v="5"/>
  </r>
  <r>
    <x v="81"/>
    <s v="May"/>
    <x v="0"/>
    <x v="586"/>
    <x v="2"/>
    <x v="0"/>
    <x v="209"/>
    <n v="27.92"/>
    <x v="5"/>
  </r>
  <r>
    <x v="81"/>
    <s v="May"/>
    <x v="0"/>
    <x v="587"/>
    <x v="3"/>
    <x v="0"/>
    <x v="210"/>
    <n v="32.82"/>
    <x v="3"/>
  </r>
  <r>
    <x v="82"/>
    <s v="May"/>
    <x v="1"/>
    <x v="588"/>
    <x v="0"/>
    <x v="1"/>
    <x v="10"/>
    <n v="29"/>
    <x v="2"/>
  </r>
  <r>
    <x v="82"/>
    <s v="May"/>
    <x v="1"/>
    <x v="589"/>
    <x v="1"/>
    <x v="0"/>
    <x v="211"/>
    <n v="37.72"/>
    <x v="0"/>
  </r>
  <r>
    <x v="82"/>
    <s v="May"/>
    <x v="1"/>
    <x v="590"/>
    <x v="1"/>
    <x v="1"/>
    <x v="10"/>
    <n v="29"/>
    <x v="2"/>
  </r>
  <r>
    <x v="82"/>
    <s v="May"/>
    <x v="1"/>
    <x v="591"/>
    <x v="1"/>
    <x v="0"/>
    <x v="212"/>
    <n v="32.82"/>
    <x v="3"/>
  </r>
  <r>
    <x v="82"/>
    <s v="May"/>
    <x v="1"/>
    <x v="592"/>
    <x v="1"/>
    <x v="0"/>
    <x v="212"/>
    <n v="32.82"/>
    <x v="3"/>
  </r>
  <r>
    <x v="82"/>
    <s v="May"/>
    <x v="1"/>
    <x v="593"/>
    <x v="1"/>
    <x v="0"/>
    <x v="213"/>
    <n v="32.82"/>
    <x v="3"/>
  </r>
  <r>
    <x v="82"/>
    <s v="May"/>
    <x v="1"/>
    <x v="594"/>
    <x v="2"/>
    <x v="0"/>
    <x v="40"/>
    <n v="32.82"/>
    <x v="3"/>
  </r>
  <r>
    <x v="82"/>
    <s v="May"/>
    <x v="1"/>
    <x v="595"/>
    <x v="2"/>
    <x v="0"/>
    <x v="40"/>
    <n v="27.92"/>
    <x v="2"/>
  </r>
  <r>
    <x v="83"/>
    <s v="May"/>
    <x v="2"/>
    <x v="596"/>
    <x v="0"/>
    <x v="0"/>
    <x v="0"/>
    <n v="37.72"/>
    <x v="0"/>
  </r>
  <r>
    <x v="83"/>
    <s v="May"/>
    <x v="2"/>
    <x v="597"/>
    <x v="1"/>
    <x v="0"/>
    <x v="214"/>
    <n v="32.82"/>
    <x v="3"/>
  </r>
  <r>
    <x v="83"/>
    <s v="May"/>
    <x v="2"/>
    <x v="598"/>
    <x v="1"/>
    <x v="0"/>
    <x v="215"/>
    <n v="27.92"/>
    <x v="5"/>
  </r>
  <r>
    <x v="83"/>
    <s v="May"/>
    <x v="2"/>
    <x v="599"/>
    <x v="1"/>
    <x v="0"/>
    <x v="216"/>
    <n v="32.82"/>
    <x v="3"/>
  </r>
  <r>
    <x v="83"/>
    <s v="May"/>
    <x v="2"/>
    <x v="600"/>
    <x v="2"/>
    <x v="0"/>
    <x v="217"/>
    <n v="37.72"/>
    <x v="7"/>
  </r>
  <r>
    <x v="83"/>
    <s v="May"/>
    <x v="2"/>
    <x v="601"/>
    <x v="2"/>
    <x v="0"/>
    <x v="218"/>
    <n v="37.72"/>
    <x v="1"/>
  </r>
  <r>
    <x v="83"/>
    <s v="May"/>
    <x v="2"/>
    <x v="602"/>
    <x v="2"/>
    <x v="0"/>
    <x v="218"/>
    <n v="37.72"/>
    <x v="1"/>
  </r>
  <r>
    <x v="83"/>
    <s v="May"/>
    <x v="2"/>
    <x v="603"/>
    <x v="2"/>
    <x v="0"/>
    <x v="218"/>
    <n v="27.92"/>
    <x v="2"/>
  </r>
  <r>
    <x v="83"/>
    <s v="May"/>
    <x v="2"/>
    <x v="604"/>
    <x v="2"/>
    <x v="0"/>
    <x v="219"/>
    <n v="37.72"/>
    <x v="0"/>
  </r>
  <r>
    <x v="83"/>
    <s v="May"/>
    <x v="2"/>
    <x v="605"/>
    <x v="3"/>
    <x v="0"/>
    <x v="220"/>
    <n v="37.72"/>
    <x v="1"/>
  </r>
  <r>
    <x v="83"/>
    <s v="May"/>
    <x v="2"/>
    <x v="606"/>
    <x v="3"/>
    <x v="0"/>
    <x v="220"/>
    <n v="37.72"/>
    <x v="7"/>
  </r>
  <r>
    <x v="83"/>
    <s v="May"/>
    <x v="2"/>
    <x v="607"/>
    <x v="3"/>
    <x v="0"/>
    <x v="221"/>
    <n v="27.92"/>
    <x v="5"/>
  </r>
  <r>
    <x v="83"/>
    <s v="May"/>
    <x v="2"/>
    <x v="608"/>
    <x v="3"/>
    <x v="0"/>
    <x v="222"/>
    <n v="37.72"/>
    <x v="7"/>
  </r>
  <r>
    <x v="83"/>
    <s v="May"/>
    <x v="2"/>
    <x v="609"/>
    <x v="3"/>
    <x v="0"/>
    <x v="221"/>
    <n v="37.72"/>
    <x v="0"/>
  </r>
  <r>
    <x v="83"/>
    <s v="May"/>
    <x v="2"/>
    <x v="610"/>
    <x v="3"/>
    <x v="0"/>
    <x v="223"/>
    <n v="37.72"/>
    <x v="7"/>
  </r>
  <r>
    <x v="84"/>
    <s v="May"/>
    <x v="3"/>
    <x v="611"/>
    <x v="0"/>
    <x v="0"/>
    <x v="12"/>
    <n v="27.92"/>
    <x v="2"/>
  </r>
  <r>
    <x v="84"/>
    <s v="May"/>
    <x v="3"/>
    <x v="612"/>
    <x v="1"/>
    <x v="0"/>
    <x v="224"/>
    <n v="32.82"/>
    <x v="3"/>
  </r>
  <r>
    <x v="84"/>
    <s v="May"/>
    <x v="3"/>
    <x v="613"/>
    <x v="1"/>
    <x v="0"/>
    <x v="224"/>
    <n v="37.72"/>
    <x v="4"/>
  </r>
  <r>
    <x v="84"/>
    <s v="May"/>
    <x v="3"/>
    <x v="614"/>
    <x v="1"/>
    <x v="0"/>
    <x v="225"/>
    <n v="27.92"/>
    <x v="2"/>
  </r>
  <r>
    <x v="84"/>
    <s v="May"/>
    <x v="3"/>
    <x v="615"/>
    <x v="1"/>
    <x v="0"/>
    <x v="225"/>
    <n v="27.92"/>
    <x v="2"/>
  </r>
  <r>
    <x v="84"/>
    <s v="May"/>
    <x v="3"/>
    <x v="616"/>
    <x v="2"/>
    <x v="0"/>
    <x v="203"/>
    <n v="37.72"/>
    <x v="0"/>
  </r>
  <r>
    <x v="84"/>
    <s v="May"/>
    <x v="3"/>
    <x v="617"/>
    <x v="2"/>
    <x v="0"/>
    <x v="226"/>
    <n v="27.92"/>
    <x v="2"/>
  </r>
  <r>
    <x v="84"/>
    <s v="May"/>
    <x v="3"/>
    <x v="618"/>
    <x v="2"/>
    <x v="0"/>
    <x v="227"/>
    <n v="37.72"/>
    <x v="0"/>
  </r>
  <r>
    <x v="84"/>
    <s v="May"/>
    <x v="3"/>
    <x v="619"/>
    <x v="2"/>
    <x v="0"/>
    <x v="228"/>
    <n v="37.72"/>
    <x v="0"/>
  </r>
  <r>
    <x v="84"/>
    <s v="May"/>
    <x v="3"/>
    <x v="620"/>
    <x v="3"/>
    <x v="0"/>
    <x v="192"/>
    <n v="32.82"/>
    <x v="3"/>
  </r>
  <r>
    <x v="84"/>
    <s v="May"/>
    <x v="3"/>
    <x v="621"/>
    <x v="3"/>
    <x v="0"/>
    <x v="206"/>
    <n v="37.72"/>
    <x v="7"/>
  </r>
  <r>
    <x v="85"/>
    <s v="May"/>
    <x v="4"/>
    <x v="622"/>
    <x v="0"/>
    <x v="0"/>
    <x v="12"/>
    <n v="32.82"/>
    <x v="3"/>
  </r>
  <r>
    <x v="85"/>
    <s v="May"/>
    <x v="4"/>
    <x v="623"/>
    <x v="0"/>
    <x v="0"/>
    <x v="97"/>
    <n v="32.82"/>
    <x v="3"/>
  </r>
  <r>
    <x v="85"/>
    <s v="May"/>
    <x v="4"/>
    <x v="624"/>
    <x v="0"/>
    <x v="0"/>
    <x v="229"/>
    <n v="37.72"/>
    <x v="7"/>
  </r>
  <r>
    <x v="85"/>
    <s v="May"/>
    <x v="4"/>
    <x v="625"/>
    <x v="1"/>
    <x v="0"/>
    <x v="230"/>
    <n v="37.72"/>
    <x v="7"/>
  </r>
  <r>
    <x v="85"/>
    <s v="May"/>
    <x v="4"/>
    <x v="626"/>
    <x v="1"/>
    <x v="0"/>
    <x v="194"/>
    <n v="37.72"/>
    <x v="4"/>
  </r>
  <r>
    <x v="85"/>
    <s v="May"/>
    <x v="4"/>
    <x v="627"/>
    <x v="2"/>
    <x v="0"/>
    <x v="141"/>
    <n v="27.92"/>
    <x v="5"/>
  </r>
  <r>
    <x v="85"/>
    <s v="May"/>
    <x v="4"/>
    <x v="628"/>
    <x v="2"/>
    <x v="1"/>
    <x v="10"/>
    <n v="39"/>
    <x v="7"/>
  </r>
  <r>
    <x v="85"/>
    <s v="May"/>
    <x v="4"/>
    <x v="629"/>
    <x v="2"/>
    <x v="0"/>
    <x v="231"/>
    <n v="27.92"/>
    <x v="2"/>
  </r>
  <r>
    <x v="85"/>
    <s v="May"/>
    <x v="4"/>
    <x v="630"/>
    <x v="2"/>
    <x v="0"/>
    <x v="231"/>
    <n v="37.72"/>
    <x v="0"/>
  </r>
  <r>
    <x v="85"/>
    <s v="May"/>
    <x v="4"/>
    <x v="631"/>
    <x v="3"/>
    <x v="0"/>
    <x v="8"/>
    <n v="32.82"/>
    <x v="3"/>
  </r>
  <r>
    <x v="85"/>
    <s v="May"/>
    <x v="4"/>
    <x v="632"/>
    <x v="3"/>
    <x v="0"/>
    <x v="12"/>
    <n v="27.92"/>
    <x v="2"/>
  </r>
  <r>
    <x v="86"/>
    <s v="May"/>
    <x v="5"/>
    <x v="633"/>
    <x v="0"/>
    <x v="0"/>
    <x v="232"/>
    <n v="37.72"/>
    <x v="0"/>
  </r>
  <r>
    <x v="86"/>
    <s v="May"/>
    <x v="5"/>
    <x v="634"/>
    <x v="0"/>
    <x v="1"/>
    <x v="10"/>
    <n v="39"/>
    <x v="0"/>
  </r>
  <r>
    <x v="86"/>
    <s v="May"/>
    <x v="5"/>
    <x v="635"/>
    <x v="0"/>
    <x v="0"/>
    <x v="233"/>
    <n v="37.72"/>
    <x v="1"/>
  </r>
  <r>
    <x v="86"/>
    <s v="May"/>
    <x v="5"/>
    <x v="636"/>
    <x v="1"/>
    <x v="0"/>
    <x v="234"/>
    <n v="27.92"/>
    <x v="2"/>
  </r>
  <r>
    <x v="86"/>
    <s v="May"/>
    <x v="5"/>
    <x v="637"/>
    <x v="1"/>
    <x v="0"/>
    <x v="235"/>
    <n v="37.72"/>
    <x v="0"/>
  </r>
  <r>
    <x v="86"/>
    <s v="May"/>
    <x v="5"/>
    <x v="638"/>
    <x v="1"/>
    <x v="0"/>
    <x v="236"/>
    <n v="37.72"/>
    <x v="7"/>
  </r>
  <r>
    <x v="86"/>
    <s v="May"/>
    <x v="5"/>
    <x v="639"/>
    <x v="2"/>
    <x v="0"/>
    <x v="237"/>
    <n v="37.72"/>
    <x v="0"/>
  </r>
  <r>
    <x v="86"/>
    <s v="May"/>
    <x v="5"/>
    <x v="640"/>
    <x v="2"/>
    <x v="0"/>
    <x v="238"/>
    <n v="27.92"/>
    <x v="5"/>
  </r>
  <r>
    <x v="86"/>
    <s v="May"/>
    <x v="5"/>
    <x v="641"/>
    <x v="2"/>
    <x v="0"/>
    <x v="238"/>
    <n v="37.72"/>
    <x v="0"/>
  </r>
  <r>
    <x v="86"/>
    <s v="May"/>
    <x v="5"/>
    <x v="642"/>
    <x v="3"/>
    <x v="0"/>
    <x v="239"/>
    <n v="37.72"/>
    <x v="1"/>
  </r>
  <r>
    <x v="86"/>
    <s v="May"/>
    <x v="5"/>
    <x v="643"/>
    <x v="3"/>
    <x v="0"/>
    <x v="240"/>
    <n v="37.72"/>
    <x v="4"/>
  </r>
  <r>
    <x v="87"/>
    <s v="May"/>
    <x v="6"/>
    <x v="644"/>
    <x v="0"/>
    <x v="0"/>
    <x v="241"/>
    <n v="37.72"/>
    <x v="7"/>
  </r>
  <r>
    <x v="87"/>
    <s v="May"/>
    <x v="6"/>
    <x v="645"/>
    <x v="0"/>
    <x v="0"/>
    <x v="241"/>
    <n v="37.72"/>
    <x v="0"/>
  </r>
  <r>
    <x v="87"/>
    <s v="May"/>
    <x v="6"/>
    <x v="646"/>
    <x v="0"/>
    <x v="0"/>
    <x v="242"/>
    <n v="32.82"/>
    <x v="3"/>
  </r>
  <r>
    <x v="87"/>
    <s v="May"/>
    <x v="6"/>
    <x v="647"/>
    <x v="0"/>
    <x v="0"/>
    <x v="0"/>
    <n v="37.72"/>
    <x v="0"/>
  </r>
  <r>
    <x v="87"/>
    <s v="May"/>
    <x v="6"/>
    <x v="648"/>
    <x v="1"/>
    <x v="0"/>
    <x v="97"/>
    <n v="32.82"/>
    <x v="3"/>
  </r>
  <r>
    <x v="87"/>
    <s v="May"/>
    <x v="6"/>
    <x v="649"/>
    <x v="1"/>
    <x v="0"/>
    <x v="243"/>
    <n v="23.02"/>
    <x v="6"/>
  </r>
  <r>
    <x v="87"/>
    <s v="May"/>
    <x v="6"/>
    <x v="650"/>
    <x v="1"/>
    <x v="0"/>
    <x v="12"/>
    <n v="23.02"/>
    <x v="6"/>
  </r>
  <r>
    <x v="87"/>
    <s v="May"/>
    <x v="6"/>
    <x v="651"/>
    <x v="2"/>
    <x v="0"/>
    <x v="206"/>
    <n v="37.72"/>
    <x v="7"/>
  </r>
  <r>
    <x v="87"/>
    <s v="May"/>
    <x v="6"/>
    <x v="652"/>
    <x v="3"/>
    <x v="0"/>
    <x v="244"/>
    <n v="37.72"/>
    <x v="0"/>
  </r>
  <r>
    <x v="87"/>
    <s v="May"/>
    <x v="6"/>
    <x v="653"/>
    <x v="3"/>
    <x v="0"/>
    <x v="8"/>
    <n v="37.72"/>
    <x v="1"/>
  </r>
  <r>
    <x v="87"/>
    <s v="May"/>
    <x v="6"/>
    <x v="654"/>
    <x v="3"/>
    <x v="0"/>
    <x v="8"/>
    <n v="32.82"/>
    <x v="3"/>
  </r>
  <r>
    <x v="88"/>
    <s v="May"/>
    <x v="0"/>
    <x v="655"/>
    <x v="0"/>
    <x v="0"/>
    <x v="245"/>
    <n v="32.82"/>
    <x v="3"/>
  </r>
  <r>
    <x v="88"/>
    <s v="May"/>
    <x v="0"/>
    <x v="656"/>
    <x v="0"/>
    <x v="0"/>
    <x v="246"/>
    <n v="37.72"/>
    <x v="0"/>
  </r>
  <r>
    <x v="88"/>
    <s v="May"/>
    <x v="0"/>
    <x v="657"/>
    <x v="0"/>
    <x v="1"/>
    <x v="10"/>
    <n v="39"/>
    <x v="0"/>
  </r>
  <r>
    <x v="88"/>
    <s v="May"/>
    <x v="0"/>
    <x v="658"/>
    <x v="0"/>
    <x v="0"/>
    <x v="247"/>
    <n v="37.72"/>
    <x v="1"/>
  </r>
  <r>
    <x v="88"/>
    <s v="May"/>
    <x v="0"/>
    <x v="659"/>
    <x v="0"/>
    <x v="0"/>
    <x v="248"/>
    <n v="37.72"/>
    <x v="4"/>
  </r>
  <r>
    <x v="88"/>
    <s v="May"/>
    <x v="0"/>
    <x v="660"/>
    <x v="1"/>
    <x v="0"/>
    <x v="249"/>
    <n v="32.82"/>
    <x v="3"/>
  </r>
  <r>
    <x v="88"/>
    <s v="May"/>
    <x v="0"/>
    <x v="661"/>
    <x v="2"/>
    <x v="0"/>
    <x v="250"/>
    <n v="37.72"/>
    <x v="0"/>
  </r>
  <r>
    <x v="88"/>
    <s v="May"/>
    <x v="0"/>
    <x v="662"/>
    <x v="2"/>
    <x v="0"/>
    <x v="250"/>
    <n v="37.72"/>
    <x v="0"/>
  </r>
  <r>
    <x v="88"/>
    <s v="May"/>
    <x v="0"/>
    <x v="663"/>
    <x v="3"/>
    <x v="0"/>
    <x v="180"/>
    <n v="37.72"/>
    <x v="7"/>
  </r>
  <r>
    <x v="88"/>
    <s v="May"/>
    <x v="0"/>
    <x v="664"/>
    <x v="3"/>
    <x v="0"/>
    <x v="134"/>
    <n v="32.82"/>
    <x v="3"/>
  </r>
  <r>
    <x v="88"/>
    <s v="May"/>
    <x v="0"/>
    <x v="665"/>
    <x v="3"/>
    <x v="0"/>
    <x v="134"/>
    <n v="37.72"/>
    <x v="0"/>
  </r>
  <r>
    <x v="88"/>
    <s v="May"/>
    <x v="0"/>
    <x v="666"/>
    <x v="3"/>
    <x v="0"/>
    <x v="206"/>
    <n v="37.72"/>
    <x v="7"/>
  </r>
  <r>
    <x v="88"/>
    <s v="May"/>
    <x v="0"/>
    <x v="667"/>
    <x v="3"/>
    <x v="0"/>
    <x v="206"/>
    <n v="32.82"/>
    <x v="3"/>
  </r>
  <r>
    <x v="88"/>
    <s v="May"/>
    <x v="0"/>
    <x v="668"/>
    <x v="3"/>
    <x v="0"/>
    <x v="206"/>
    <n v="27.92"/>
    <x v="5"/>
  </r>
  <r>
    <x v="89"/>
    <s v="June"/>
    <x v="1"/>
    <x v="669"/>
    <x v="0"/>
    <x v="0"/>
    <x v="141"/>
    <n v="27.92"/>
    <x v="5"/>
  </r>
  <r>
    <x v="89"/>
    <s v="June"/>
    <x v="1"/>
    <x v="670"/>
    <x v="0"/>
    <x v="0"/>
    <x v="232"/>
    <n v="37.72"/>
    <x v="0"/>
  </r>
  <r>
    <x v="89"/>
    <s v="June"/>
    <x v="1"/>
    <x v="671"/>
    <x v="0"/>
    <x v="0"/>
    <x v="250"/>
    <n v="37.72"/>
    <x v="0"/>
  </r>
  <r>
    <x v="89"/>
    <s v="June"/>
    <x v="1"/>
    <x v="672"/>
    <x v="1"/>
    <x v="0"/>
    <x v="97"/>
    <n v="32.82"/>
    <x v="3"/>
  </r>
  <r>
    <x v="89"/>
    <s v="June"/>
    <x v="1"/>
    <x v="673"/>
    <x v="2"/>
    <x v="0"/>
    <x v="251"/>
    <n v="32.82"/>
    <x v="3"/>
  </r>
  <r>
    <x v="89"/>
    <s v="June"/>
    <x v="1"/>
    <x v="674"/>
    <x v="2"/>
    <x v="0"/>
    <x v="251"/>
    <n v="32.82"/>
    <x v="3"/>
  </r>
  <r>
    <x v="89"/>
    <s v="June"/>
    <x v="1"/>
    <x v="675"/>
    <x v="3"/>
    <x v="0"/>
    <x v="154"/>
    <n v="37.72"/>
    <x v="7"/>
  </r>
  <r>
    <x v="89"/>
    <s v="June"/>
    <x v="1"/>
    <x v="676"/>
    <x v="3"/>
    <x v="0"/>
    <x v="154"/>
    <n v="37.72"/>
    <x v="7"/>
  </r>
  <r>
    <x v="89"/>
    <s v="June"/>
    <x v="1"/>
    <x v="677"/>
    <x v="3"/>
    <x v="1"/>
    <x v="10"/>
    <n v="39"/>
    <x v="4"/>
  </r>
  <r>
    <x v="89"/>
    <s v="June"/>
    <x v="1"/>
    <x v="678"/>
    <x v="3"/>
    <x v="0"/>
    <x v="252"/>
    <n v="37.72"/>
    <x v="4"/>
  </r>
  <r>
    <x v="89"/>
    <s v="June"/>
    <x v="1"/>
    <x v="679"/>
    <x v="3"/>
    <x v="0"/>
    <x v="8"/>
    <n v="32.82"/>
    <x v="3"/>
  </r>
  <r>
    <x v="90"/>
    <s v="June"/>
    <x v="2"/>
    <x v="680"/>
    <x v="3"/>
    <x v="0"/>
    <x v="8"/>
    <n v="37.72"/>
    <x v="0"/>
  </r>
  <r>
    <x v="90"/>
    <s v="June"/>
    <x v="2"/>
    <x v="681"/>
    <x v="3"/>
    <x v="0"/>
    <x v="40"/>
    <n v="32.82"/>
    <x v="3"/>
  </r>
  <r>
    <x v="90"/>
    <s v="June"/>
    <x v="2"/>
    <x v="682"/>
    <x v="3"/>
    <x v="0"/>
    <x v="40"/>
    <n v="37.72"/>
    <x v="7"/>
  </r>
  <r>
    <x v="90"/>
    <s v="June"/>
    <x v="2"/>
    <x v="683"/>
    <x v="3"/>
    <x v="0"/>
    <x v="97"/>
    <n v="32.82"/>
    <x v="3"/>
  </r>
  <r>
    <x v="90"/>
    <s v="June"/>
    <x v="2"/>
    <x v="684"/>
    <x v="3"/>
    <x v="0"/>
    <x v="253"/>
    <n v="37.72"/>
    <x v="0"/>
  </r>
  <r>
    <x v="90"/>
    <s v="June"/>
    <x v="2"/>
    <x v="685"/>
    <x v="3"/>
    <x v="1"/>
    <x v="10"/>
    <n v="34"/>
    <x v="3"/>
  </r>
  <r>
    <x v="91"/>
    <s v="June"/>
    <x v="3"/>
    <x v="686"/>
    <x v="0"/>
    <x v="0"/>
    <x v="0"/>
    <n v="37.72"/>
    <x v="0"/>
  </r>
  <r>
    <x v="91"/>
    <s v="June"/>
    <x v="3"/>
    <x v="687"/>
    <x v="0"/>
    <x v="0"/>
    <x v="191"/>
    <n v="37.72"/>
    <x v="0"/>
  </r>
  <r>
    <x v="91"/>
    <s v="June"/>
    <x v="3"/>
    <x v="688"/>
    <x v="1"/>
    <x v="0"/>
    <x v="25"/>
    <n v="37.72"/>
    <x v="7"/>
  </r>
  <r>
    <x v="91"/>
    <s v="June"/>
    <x v="3"/>
    <x v="689"/>
    <x v="1"/>
    <x v="0"/>
    <x v="24"/>
    <n v="32.82"/>
    <x v="3"/>
  </r>
  <r>
    <x v="91"/>
    <s v="June"/>
    <x v="3"/>
    <x v="690"/>
    <x v="1"/>
    <x v="0"/>
    <x v="8"/>
    <n v="37.72"/>
    <x v="0"/>
  </r>
  <r>
    <x v="91"/>
    <s v="June"/>
    <x v="3"/>
    <x v="691"/>
    <x v="3"/>
    <x v="1"/>
    <x v="10"/>
    <n v="34"/>
    <x v="3"/>
  </r>
  <r>
    <x v="91"/>
    <s v="June"/>
    <x v="3"/>
    <x v="692"/>
    <x v="3"/>
    <x v="1"/>
    <x v="10"/>
    <n v="34"/>
    <x v="3"/>
  </r>
  <r>
    <x v="92"/>
    <s v="June"/>
    <x v="4"/>
    <x v="693"/>
    <x v="0"/>
    <x v="0"/>
    <x v="141"/>
    <n v="27.92"/>
    <x v="5"/>
  </r>
  <r>
    <x v="92"/>
    <s v="June"/>
    <x v="4"/>
    <x v="694"/>
    <x v="0"/>
    <x v="0"/>
    <x v="97"/>
    <n v="32.82"/>
    <x v="3"/>
  </r>
  <r>
    <x v="92"/>
    <s v="June"/>
    <x v="4"/>
    <x v="695"/>
    <x v="1"/>
    <x v="0"/>
    <x v="254"/>
    <n v="37.72"/>
    <x v="0"/>
  </r>
  <r>
    <x v="92"/>
    <s v="June"/>
    <x v="4"/>
    <x v="696"/>
    <x v="1"/>
    <x v="0"/>
    <x v="254"/>
    <n v="37.72"/>
    <x v="1"/>
  </r>
  <r>
    <x v="92"/>
    <s v="June"/>
    <x v="4"/>
    <x v="697"/>
    <x v="1"/>
    <x v="0"/>
    <x v="255"/>
    <n v="37.72"/>
    <x v="0"/>
  </r>
  <r>
    <x v="92"/>
    <s v="June"/>
    <x v="4"/>
    <x v="698"/>
    <x v="2"/>
    <x v="0"/>
    <x v="192"/>
    <n v="27.92"/>
    <x v="5"/>
  </r>
  <r>
    <x v="92"/>
    <s v="June"/>
    <x v="4"/>
    <x v="699"/>
    <x v="2"/>
    <x v="0"/>
    <x v="192"/>
    <n v="37.72"/>
    <x v="7"/>
  </r>
  <r>
    <x v="92"/>
    <s v="June"/>
    <x v="4"/>
    <x v="700"/>
    <x v="3"/>
    <x v="0"/>
    <x v="256"/>
    <n v="37.72"/>
    <x v="1"/>
  </r>
  <r>
    <x v="92"/>
    <s v="June"/>
    <x v="4"/>
    <x v="701"/>
    <x v="3"/>
    <x v="0"/>
    <x v="257"/>
    <n v="37.72"/>
    <x v="7"/>
  </r>
  <r>
    <x v="92"/>
    <s v="June"/>
    <x v="4"/>
    <x v="702"/>
    <x v="3"/>
    <x v="0"/>
    <x v="258"/>
    <n v="27.92"/>
    <x v="5"/>
  </r>
  <r>
    <x v="92"/>
    <s v="June"/>
    <x v="4"/>
    <x v="703"/>
    <x v="3"/>
    <x v="0"/>
    <x v="259"/>
    <n v="32.82"/>
    <x v="3"/>
  </r>
  <r>
    <x v="92"/>
    <s v="June"/>
    <x v="4"/>
    <x v="704"/>
    <x v="3"/>
    <x v="0"/>
    <x v="260"/>
    <n v="32.82"/>
    <x v="3"/>
  </r>
  <r>
    <x v="92"/>
    <s v="June"/>
    <x v="4"/>
    <x v="705"/>
    <x v="3"/>
    <x v="0"/>
    <x v="260"/>
    <n v="32.82"/>
    <x v="3"/>
  </r>
  <r>
    <x v="92"/>
    <s v="June"/>
    <x v="4"/>
    <x v="706"/>
    <x v="3"/>
    <x v="0"/>
    <x v="260"/>
    <n v="32.82"/>
    <x v="3"/>
  </r>
  <r>
    <x v="93"/>
    <s v="June"/>
    <x v="5"/>
    <x v="707"/>
    <x v="0"/>
    <x v="0"/>
    <x v="261"/>
    <n v="37.72"/>
    <x v="7"/>
  </r>
  <r>
    <x v="93"/>
    <s v="June"/>
    <x v="5"/>
    <x v="708"/>
    <x v="0"/>
    <x v="0"/>
    <x v="261"/>
    <n v="37.72"/>
    <x v="7"/>
  </r>
  <r>
    <x v="93"/>
    <s v="June"/>
    <x v="5"/>
    <x v="709"/>
    <x v="0"/>
    <x v="0"/>
    <x v="262"/>
    <n v="27.92"/>
    <x v="2"/>
  </r>
  <r>
    <x v="93"/>
    <s v="June"/>
    <x v="5"/>
    <x v="710"/>
    <x v="0"/>
    <x v="0"/>
    <x v="0"/>
    <n v="37.72"/>
    <x v="0"/>
  </r>
  <r>
    <x v="93"/>
    <s v="June"/>
    <x v="5"/>
    <x v="711"/>
    <x v="0"/>
    <x v="0"/>
    <x v="97"/>
    <n v="32.82"/>
    <x v="3"/>
  </r>
  <r>
    <x v="93"/>
    <s v="June"/>
    <x v="5"/>
    <x v="712"/>
    <x v="2"/>
    <x v="0"/>
    <x v="263"/>
    <n v="32.82"/>
    <x v="3"/>
  </r>
  <r>
    <x v="93"/>
    <s v="June"/>
    <x v="5"/>
    <x v="713"/>
    <x v="2"/>
    <x v="0"/>
    <x v="264"/>
    <n v="37.72"/>
    <x v="0"/>
  </r>
  <r>
    <x v="93"/>
    <s v="June"/>
    <x v="5"/>
    <x v="714"/>
    <x v="3"/>
    <x v="0"/>
    <x v="220"/>
    <n v="37.72"/>
    <x v="4"/>
  </r>
  <r>
    <x v="93"/>
    <s v="June"/>
    <x v="5"/>
    <x v="715"/>
    <x v="3"/>
    <x v="0"/>
    <x v="220"/>
    <n v="27.92"/>
    <x v="5"/>
  </r>
  <r>
    <x v="94"/>
    <s v="June"/>
    <x v="6"/>
    <x v="716"/>
    <x v="0"/>
    <x v="0"/>
    <x v="97"/>
    <n v="32.82"/>
    <x v="3"/>
  </r>
  <r>
    <x v="94"/>
    <s v="June"/>
    <x v="6"/>
    <x v="717"/>
    <x v="0"/>
    <x v="0"/>
    <x v="97"/>
    <n v="32.82"/>
    <x v="3"/>
  </r>
  <r>
    <x v="94"/>
    <s v="June"/>
    <x v="6"/>
    <x v="718"/>
    <x v="0"/>
    <x v="0"/>
    <x v="0"/>
    <n v="37.72"/>
    <x v="0"/>
  </r>
  <r>
    <x v="94"/>
    <s v="June"/>
    <x v="6"/>
    <x v="719"/>
    <x v="1"/>
    <x v="0"/>
    <x v="265"/>
    <n v="27.92"/>
    <x v="2"/>
  </r>
  <r>
    <x v="94"/>
    <s v="June"/>
    <x v="6"/>
    <x v="720"/>
    <x v="1"/>
    <x v="0"/>
    <x v="224"/>
    <n v="32.82"/>
    <x v="3"/>
  </r>
  <r>
    <x v="94"/>
    <s v="June"/>
    <x v="6"/>
    <x v="721"/>
    <x v="1"/>
    <x v="0"/>
    <x v="266"/>
    <n v="37.72"/>
    <x v="7"/>
  </r>
  <r>
    <x v="94"/>
    <s v="June"/>
    <x v="6"/>
    <x v="722"/>
    <x v="3"/>
    <x v="0"/>
    <x v="267"/>
    <n v="37.72"/>
    <x v="0"/>
  </r>
  <r>
    <x v="94"/>
    <s v="June"/>
    <x v="6"/>
    <x v="723"/>
    <x v="3"/>
    <x v="0"/>
    <x v="267"/>
    <n v="37.72"/>
    <x v="0"/>
  </r>
  <r>
    <x v="94"/>
    <s v="June"/>
    <x v="6"/>
    <x v="724"/>
    <x v="3"/>
    <x v="0"/>
    <x v="206"/>
    <n v="37.72"/>
    <x v="7"/>
  </r>
  <r>
    <x v="94"/>
    <s v="June"/>
    <x v="6"/>
    <x v="725"/>
    <x v="3"/>
    <x v="0"/>
    <x v="206"/>
    <n v="32.82"/>
    <x v="3"/>
  </r>
  <r>
    <x v="94"/>
    <s v="June"/>
    <x v="6"/>
    <x v="726"/>
    <x v="3"/>
    <x v="0"/>
    <x v="267"/>
    <n v="37.72"/>
    <x v="0"/>
  </r>
  <r>
    <x v="95"/>
    <s v="June"/>
    <x v="0"/>
    <x v="727"/>
    <x v="0"/>
    <x v="0"/>
    <x v="268"/>
    <n v="37.72"/>
    <x v="7"/>
  </r>
  <r>
    <x v="95"/>
    <s v="June"/>
    <x v="0"/>
    <x v="728"/>
    <x v="0"/>
    <x v="0"/>
    <x v="269"/>
    <n v="23.02"/>
    <x v="6"/>
  </r>
  <r>
    <x v="95"/>
    <s v="June"/>
    <x v="0"/>
    <x v="729"/>
    <x v="1"/>
    <x v="0"/>
    <x v="164"/>
    <n v="32.82"/>
    <x v="3"/>
  </r>
  <r>
    <x v="95"/>
    <s v="June"/>
    <x v="0"/>
    <x v="730"/>
    <x v="2"/>
    <x v="0"/>
    <x v="270"/>
    <n v="27.92"/>
    <x v="5"/>
  </r>
  <r>
    <x v="95"/>
    <s v="June"/>
    <x v="0"/>
    <x v="731"/>
    <x v="2"/>
    <x v="0"/>
    <x v="270"/>
    <n v="27.92"/>
    <x v="5"/>
  </r>
  <r>
    <x v="96"/>
    <s v="June"/>
    <x v="1"/>
    <x v="732"/>
    <x v="0"/>
    <x v="0"/>
    <x v="271"/>
    <n v="27.92"/>
    <x v="5"/>
  </r>
  <r>
    <x v="96"/>
    <s v="June"/>
    <x v="1"/>
    <x v="733"/>
    <x v="0"/>
    <x v="0"/>
    <x v="97"/>
    <n v="32.82"/>
    <x v="3"/>
  </r>
  <r>
    <x v="96"/>
    <s v="June"/>
    <x v="1"/>
    <x v="734"/>
    <x v="3"/>
    <x v="0"/>
    <x v="134"/>
    <n v="37.72"/>
    <x v="7"/>
  </r>
  <r>
    <x v="96"/>
    <s v="June"/>
    <x v="1"/>
    <x v="735"/>
    <x v="3"/>
    <x v="0"/>
    <x v="134"/>
    <n v="37.72"/>
    <x v="7"/>
  </r>
  <r>
    <x v="97"/>
    <s v="June"/>
    <x v="2"/>
    <x v="736"/>
    <x v="0"/>
    <x v="0"/>
    <x v="97"/>
    <n v="37.72"/>
    <x v="0"/>
  </r>
  <r>
    <x v="97"/>
    <s v="June"/>
    <x v="2"/>
    <x v="737"/>
    <x v="0"/>
    <x v="0"/>
    <x v="272"/>
    <n v="37.72"/>
    <x v="0"/>
  </r>
  <r>
    <x v="97"/>
    <s v="June"/>
    <x v="2"/>
    <x v="738"/>
    <x v="0"/>
    <x v="0"/>
    <x v="273"/>
    <n v="37.72"/>
    <x v="7"/>
  </r>
  <r>
    <x v="97"/>
    <s v="June"/>
    <x v="2"/>
    <x v="739"/>
    <x v="0"/>
    <x v="0"/>
    <x v="141"/>
    <n v="27.92"/>
    <x v="5"/>
  </r>
  <r>
    <x v="97"/>
    <s v="June"/>
    <x v="2"/>
    <x v="740"/>
    <x v="0"/>
    <x v="0"/>
    <x v="274"/>
    <n v="23.02"/>
    <x v="6"/>
  </r>
  <r>
    <x v="97"/>
    <s v="June"/>
    <x v="2"/>
    <x v="741"/>
    <x v="0"/>
    <x v="0"/>
    <x v="275"/>
    <n v="37.72"/>
    <x v="7"/>
  </r>
  <r>
    <x v="97"/>
    <s v="June"/>
    <x v="2"/>
    <x v="742"/>
    <x v="1"/>
    <x v="0"/>
    <x v="276"/>
    <n v="32.82"/>
    <x v="3"/>
  </r>
  <r>
    <x v="97"/>
    <s v="June"/>
    <x v="2"/>
    <x v="743"/>
    <x v="1"/>
    <x v="0"/>
    <x v="276"/>
    <n v="37.72"/>
    <x v="0"/>
  </r>
  <r>
    <x v="97"/>
    <s v="June"/>
    <x v="2"/>
    <x v="744"/>
    <x v="1"/>
    <x v="0"/>
    <x v="276"/>
    <n v="37.72"/>
    <x v="0"/>
  </r>
  <r>
    <x v="97"/>
    <s v="June"/>
    <x v="2"/>
    <x v="745"/>
    <x v="1"/>
    <x v="0"/>
    <x v="277"/>
    <n v="27.92"/>
    <x v="5"/>
  </r>
  <r>
    <x v="97"/>
    <s v="June"/>
    <x v="2"/>
    <x v="746"/>
    <x v="2"/>
    <x v="0"/>
    <x v="278"/>
    <n v="37.72"/>
    <x v="7"/>
  </r>
  <r>
    <x v="97"/>
    <s v="June"/>
    <x v="2"/>
    <x v="747"/>
    <x v="2"/>
    <x v="0"/>
    <x v="279"/>
    <n v="32.82"/>
    <x v="3"/>
  </r>
  <r>
    <x v="97"/>
    <s v="June"/>
    <x v="2"/>
    <x v="748"/>
    <x v="3"/>
    <x v="0"/>
    <x v="280"/>
    <n v="27.92"/>
    <x v="2"/>
  </r>
  <r>
    <x v="98"/>
    <s v="June"/>
    <x v="3"/>
    <x v="749"/>
    <x v="1"/>
    <x v="0"/>
    <x v="281"/>
    <n v="37.72"/>
    <x v="7"/>
  </r>
  <r>
    <x v="98"/>
    <s v="June"/>
    <x v="3"/>
    <x v="750"/>
    <x v="1"/>
    <x v="0"/>
    <x v="97"/>
    <n v="37.72"/>
    <x v="0"/>
  </r>
  <r>
    <x v="98"/>
    <s v="June"/>
    <x v="3"/>
    <x v="751"/>
    <x v="2"/>
    <x v="0"/>
    <x v="282"/>
    <n v="37.72"/>
    <x v="1"/>
  </r>
  <r>
    <x v="98"/>
    <s v="June"/>
    <x v="3"/>
    <x v="752"/>
    <x v="2"/>
    <x v="0"/>
    <x v="282"/>
    <n v="37.72"/>
    <x v="1"/>
  </r>
  <r>
    <x v="98"/>
    <s v="June"/>
    <x v="3"/>
    <x v="753"/>
    <x v="2"/>
    <x v="0"/>
    <x v="283"/>
    <n v="37.72"/>
    <x v="0"/>
  </r>
  <r>
    <x v="98"/>
    <s v="June"/>
    <x v="3"/>
    <x v="754"/>
    <x v="2"/>
    <x v="0"/>
    <x v="283"/>
    <n v="37.72"/>
    <x v="0"/>
  </r>
  <r>
    <x v="99"/>
    <s v="June"/>
    <x v="4"/>
    <x v="755"/>
    <x v="0"/>
    <x v="0"/>
    <x v="284"/>
    <n v="32.82"/>
    <x v="3"/>
  </r>
  <r>
    <x v="99"/>
    <s v="June"/>
    <x v="4"/>
    <x v="756"/>
    <x v="2"/>
    <x v="0"/>
    <x v="285"/>
    <n v="37.72"/>
    <x v="0"/>
  </r>
  <r>
    <x v="99"/>
    <s v="June"/>
    <x v="4"/>
    <x v="757"/>
    <x v="2"/>
    <x v="0"/>
    <x v="285"/>
    <n v="37.72"/>
    <x v="0"/>
  </r>
  <r>
    <x v="99"/>
    <s v="June"/>
    <x v="4"/>
    <x v="758"/>
    <x v="3"/>
    <x v="0"/>
    <x v="286"/>
    <n v="37.72"/>
    <x v="1"/>
  </r>
  <r>
    <x v="99"/>
    <s v="June"/>
    <x v="4"/>
    <x v="759"/>
    <x v="3"/>
    <x v="0"/>
    <x v="287"/>
    <n v="32.82"/>
    <x v="3"/>
  </r>
  <r>
    <x v="99"/>
    <s v="June"/>
    <x v="4"/>
    <x v="760"/>
    <x v="3"/>
    <x v="0"/>
    <x v="287"/>
    <n v="32.82"/>
    <x v="3"/>
  </r>
  <r>
    <x v="100"/>
    <s v="June"/>
    <x v="5"/>
    <x v="761"/>
    <x v="0"/>
    <x v="0"/>
    <x v="288"/>
    <n v="37.72"/>
    <x v="1"/>
  </r>
  <r>
    <x v="100"/>
    <s v="June"/>
    <x v="5"/>
    <x v="762"/>
    <x v="0"/>
    <x v="0"/>
    <x v="289"/>
    <n v="37.72"/>
    <x v="7"/>
  </r>
  <r>
    <x v="100"/>
    <s v="June"/>
    <x v="5"/>
    <x v="763"/>
    <x v="2"/>
    <x v="0"/>
    <x v="283"/>
    <n v="37.72"/>
    <x v="0"/>
  </r>
  <r>
    <x v="100"/>
    <s v="June"/>
    <x v="5"/>
    <x v="764"/>
    <x v="2"/>
    <x v="0"/>
    <x v="290"/>
    <n v="37.72"/>
    <x v="0"/>
  </r>
  <r>
    <x v="100"/>
    <s v="June"/>
    <x v="5"/>
    <x v="765"/>
    <x v="3"/>
    <x v="0"/>
    <x v="256"/>
    <n v="37.72"/>
    <x v="1"/>
  </r>
  <r>
    <x v="100"/>
    <s v="June"/>
    <x v="5"/>
    <x v="766"/>
    <x v="3"/>
    <x v="0"/>
    <x v="291"/>
    <n v="32.82"/>
    <x v="3"/>
  </r>
  <r>
    <x v="101"/>
    <s v="June"/>
    <x v="6"/>
    <x v="767"/>
    <x v="0"/>
    <x v="0"/>
    <x v="292"/>
    <n v="27.92"/>
    <x v="2"/>
  </r>
  <r>
    <x v="101"/>
    <s v="June"/>
    <x v="6"/>
    <x v="768"/>
    <x v="0"/>
    <x v="0"/>
    <x v="97"/>
    <n v="37.72"/>
    <x v="0"/>
  </r>
  <r>
    <x v="101"/>
    <s v="June"/>
    <x v="6"/>
    <x v="769"/>
    <x v="0"/>
    <x v="0"/>
    <x v="293"/>
    <n v="32.82"/>
    <x v="3"/>
  </r>
  <r>
    <x v="101"/>
    <s v="June"/>
    <x v="6"/>
    <x v="770"/>
    <x v="0"/>
    <x v="0"/>
    <x v="141"/>
    <n v="27.92"/>
    <x v="5"/>
  </r>
  <r>
    <x v="101"/>
    <s v="June"/>
    <x v="6"/>
    <x v="771"/>
    <x v="2"/>
    <x v="0"/>
    <x v="294"/>
    <n v="32.82"/>
    <x v="3"/>
  </r>
  <r>
    <x v="101"/>
    <s v="June"/>
    <x v="6"/>
    <x v="772"/>
    <x v="2"/>
    <x v="0"/>
    <x v="295"/>
    <n v="37.72"/>
    <x v="1"/>
  </r>
  <r>
    <x v="101"/>
    <s v="June"/>
    <x v="6"/>
    <x v="773"/>
    <x v="2"/>
    <x v="0"/>
    <x v="296"/>
    <n v="37.72"/>
    <x v="0"/>
  </r>
  <r>
    <x v="101"/>
    <s v="June"/>
    <x v="6"/>
    <x v="774"/>
    <x v="3"/>
    <x v="0"/>
    <x v="12"/>
    <n v="32.82"/>
    <x v="3"/>
  </r>
  <r>
    <x v="101"/>
    <s v="June"/>
    <x v="6"/>
    <x v="775"/>
    <x v="3"/>
    <x v="0"/>
    <x v="12"/>
    <n v="23.02"/>
    <x v="6"/>
  </r>
  <r>
    <x v="101"/>
    <s v="June"/>
    <x v="6"/>
    <x v="776"/>
    <x v="3"/>
    <x v="0"/>
    <x v="295"/>
    <n v="23.02"/>
    <x v="6"/>
  </r>
  <r>
    <x v="101"/>
    <s v="June"/>
    <x v="6"/>
    <x v="777"/>
    <x v="3"/>
    <x v="0"/>
    <x v="8"/>
    <n v="32.82"/>
    <x v="3"/>
  </r>
  <r>
    <x v="101"/>
    <s v="June"/>
    <x v="6"/>
    <x v="778"/>
    <x v="3"/>
    <x v="0"/>
    <x v="8"/>
    <n v="32.82"/>
    <x v="3"/>
  </r>
  <r>
    <x v="102"/>
    <s v="June"/>
    <x v="0"/>
    <x v="779"/>
    <x v="0"/>
    <x v="0"/>
    <x v="141"/>
    <n v="27.92"/>
    <x v="5"/>
  </r>
  <r>
    <x v="102"/>
    <s v="June"/>
    <x v="0"/>
    <x v="780"/>
    <x v="0"/>
    <x v="0"/>
    <x v="297"/>
    <n v="27.92"/>
    <x v="2"/>
  </r>
  <r>
    <x v="102"/>
    <s v="June"/>
    <x v="0"/>
    <x v="781"/>
    <x v="1"/>
    <x v="0"/>
    <x v="97"/>
    <n v="37.72"/>
    <x v="0"/>
  </r>
  <r>
    <x v="102"/>
    <s v="June"/>
    <x v="0"/>
    <x v="782"/>
    <x v="2"/>
    <x v="0"/>
    <x v="298"/>
    <n v="32.82"/>
    <x v="3"/>
  </r>
  <r>
    <x v="103"/>
    <s v="June"/>
    <x v="1"/>
    <x v="783"/>
    <x v="0"/>
    <x v="0"/>
    <x v="299"/>
    <n v="37.72"/>
    <x v="7"/>
  </r>
  <r>
    <x v="103"/>
    <s v="June"/>
    <x v="1"/>
    <x v="784"/>
    <x v="1"/>
    <x v="0"/>
    <x v="300"/>
    <n v="37.72"/>
    <x v="0"/>
  </r>
  <r>
    <x v="103"/>
    <s v="June"/>
    <x v="1"/>
    <x v="785"/>
    <x v="1"/>
    <x v="0"/>
    <x v="300"/>
    <n v="32.82"/>
    <x v="3"/>
  </r>
  <r>
    <x v="103"/>
    <s v="June"/>
    <x v="1"/>
    <x v="786"/>
    <x v="1"/>
    <x v="0"/>
    <x v="300"/>
    <n v="23.02"/>
    <x v="6"/>
  </r>
  <r>
    <x v="103"/>
    <s v="June"/>
    <x v="1"/>
    <x v="787"/>
    <x v="1"/>
    <x v="0"/>
    <x v="300"/>
    <n v="37.72"/>
    <x v="4"/>
  </r>
  <r>
    <x v="103"/>
    <s v="June"/>
    <x v="1"/>
    <x v="788"/>
    <x v="1"/>
    <x v="0"/>
    <x v="300"/>
    <n v="32.82"/>
    <x v="3"/>
  </r>
  <r>
    <x v="103"/>
    <s v="June"/>
    <x v="1"/>
    <x v="789"/>
    <x v="2"/>
    <x v="0"/>
    <x v="301"/>
    <n v="32.82"/>
    <x v="3"/>
  </r>
  <r>
    <x v="103"/>
    <s v="June"/>
    <x v="1"/>
    <x v="790"/>
    <x v="2"/>
    <x v="0"/>
    <x v="302"/>
    <n v="27.92"/>
    <x v="2"/>
  </r>
  <r>
    <x v="104"/>
    <s v="June"/>
    <x v="2"/>
    <x v="791"/>
    <x v="0"/>
    <x v="0"/>
    <x v="59"/>
    <n v="32.82"/>
    <x v="3"/>
  </r>
  <r>
    <x v="104"/>
    <s v="June"/>
    <x v="2"/>
    <x v="792"/>
    <x v="0"/>
    <x v="0"/>
    <x v="303"/>
    <n v="37.72"/>
    <x v="0"/>
  </r>
  <r>
    <x v="104"/>
    <s v="June"/>
    <x v="2"/>
    <x v="793"/>
    <x v="0"/>
    <x v="0"/>
    <x v="303"/>
    <n v="37.72"/>
    <x v="1"/>
  </r>
  <r>
    <x v="104"/>
    <s v="June"/>
    <x v="2"/>
    <x v="794"/>
    <x v="0"/>
    <x v="0"/>
    <x v="303"/>
    <n v="37.72"/>
    <x v="1"/>
  </r>
  <r>
    <x v="104"/>
    <s v="June"/>
    <x v="2"/>
    <x v="795"/>
    <x v="1"/>
    <x v="0"/>
    <x v="276"/>
    <n v="32.82"/>
    <x v="3"/>
  </r>
  <r>
    <x v="104"/>
    <s v="June"/>
    <x v="2"/>
    <x v="796"/>
    <x v="1"/>
    <x v="0"/>
    <x v="274"/>
    <n v="23.02"/>
    <x v="6"/>
  </r>
  <r>
    <x v="104"/>
    <s v="June"/>
    <x v="2"/>
    <x v="797"/>
    <x v="1"/>
    <x v="0"/>
    <x v="304"/>
    <n v="32.82"/>
    <x v="3"/>
  </r>
  <r>
    <x v="104"/>
    <s v="June"/>
    <x v="2"/>
    <x v="798"/>
    <x v="1"/>
    <x v="0"/>
    <x v="304"/>
    <n v="32.82"/>
    <x v="3"/>
  </r>
  <r>
    <x v="104"/>
    <s v="June"/>
    <x v="2"/>
    <x v="799"/>
    <x v="1"/>
    <x v="0"/>
    <x v="305"/>
    <n v="37.72"/>
    <x v="1"/>
  </r>
  <r>
    <x v="104"/>
    <s v="June"/>
    <x v="2"/>
    <x v="800"/>
    <x v="2"/>
    <x v="0"/>
    <x v="306"/>
    <n v="37.72"/>
    <x v="1"/>
  </r>
  <r>
    <x v="104"/>
    <s v="June"/>
    <x v="2"/>
    <x v="801"/>
    <x v="2"/>
    <x v="0"/>
    <x v="59"/>
    <n v="32.82"/>
    <x v="3"/>
  </r>
  <r>
    <x v="104"/>
    <s v="June"/>
    <x v="2"/>
    <x v="802"/>
    <x v="2"/>
    <x v="0"/>
    <x v="59"/>
    <n v="32.82"/>
    <x v="3"/>
  </r>
  <r>
    <x v="105"/>
    <s v="June"/>
    <x v="3"/>
    <x v="803"/>
    <x v="0"/>
    <x v="0"/>
    <x v="307"/>
    <n v="27.92"/>
    <x v="2"/>
  </r>
  <r>
    <x v="105"/>
    <s v="June"/>
    <x v="3"/>
    <x v="804"/>
    <x v="0"/>
    <x v="0"/>
    <x v="308"/>
    <n v="27.92"/>
    <x v="5"/>
  </r>
  <r>
    <x v="105"/>
    <s v="June"/>
    <x v="3"/>
    <x v="805"/>
    <x v="0"/>
    <x v="0"/>
    <x v="308"/>
    <n v="27.92"/>
    <x v="5"/>
  </r>
  <r>
    <x v="105"/>
    <s v="June"/>
    <x v="3"/>
    <x v="806"/>
    <x v="0"/>
    <x v="0"/>
    <x v="42"/>
    <n v="37.72"/>
    <x v="7"/>
  </r>
  <r>
    <x v="105"/>
    <s v="June"/>
    <x v="3"/>
    <x v="807"/>
    <x v="1"/>
    <x v="0"/>
    <x v="164"/>
    <n v="37.72"/>
    <x v="7"/>
  </r>
  <r>
    <x v="105"/>
    <s v="June"/>
    <x v="3"/>
    <x v="808"/>
    <x v="2"/>
    <x v="0"/>
    <x v="12"/>
    <n v="37.72"/>
    <x v="7"/>
  </r>
  <r>
    <x v="105"/>
    <s v="June"/>
    <x v="3"/>
    <x v="809"/>
    <x v="2"/>
    <x v="0"/>
    <x v="12"/>
    <n v="37.72"/>
    <x v="7"/>
  </r>
  <r>
    <x v="105"/>
    <s v="June"/>
    <x v="3"/>
    <x v="810"/>
    <x v="2"/>
    <x v="0"/>
    <x v="12"/>
    <n v="27.92"/>
    <x v="2"/>
  </r>
  <r>
    <x v="105"/>
    <s v="June"/>
    <x v="3"/>
    <x v="811"/>
    <x v="2"/>
    <x v="0"/>
    <x v="309"/>
    <n v="27.92"/>
    <x v="2"/>
  </r>
  <r>
    <x v="105"/>
    <s v="June"/>
    <x v="3"/>
    <x v="812"/>
    <x v="3"/>
    <x v="0"/>
    <x v="8"/>
    <n v="32.82"/>
    <x v="3"/>
  </r>
  <r>
    <x v="106"/>
    <s v="June"/>
    <x v="4"/>
    <x v="813"/>
    <x v="1"/>
    <x v="0"/>
    <x v="299"/>
    <n v="27.92"/>
    <x v="2"/>
  </r>
  <r>
    <x v="106"/>
    <s v="June"/>
    <x v="4"/>
    <x v="814"/>
    <x v="1"/>
    <x v="0"/>
    <x v="299"/>
    <n v="37.72"/>
    <x v="7"/>
  </r>
  <r>
    <x v="106"/>
    <s v="June"/>
    <x v="4"/>
    <x v="815"/>
    <x v="2"/>
    <x v="0"/>
    <x v="154"/>
    <n v="37.72"/>
    <x v="7"/>
  </r>
  <r>
    <x v="106"/>
    <s v="June"/>
    <x v="4"/>
    <x v="816"/>
    <x v="2"/>
    <x v="0"/>
    <x v="154"/>
    <n v="37.72"/>
    <x v="7"/>
  </r>
  <r>
    <x v="106"/>
    <s v="June"/>
    <x v="4"/>
    <x v="817"/>
    <x v="3"/>
    <x v="0"/>
    <x v="310"/>
    <n v="27.92"/>
    <x v="5"/>
  </r>
  <r>
    <x v="106"/>
    <s v="June"/>
    <x v="4"/>
    <x v="818"/>
    <x v="3"/>
    <x v="0"/>
    <x v="12"/>
    <n v="32.82"/>
    <x v="3"/>
  </r>
  <r>
    <x v="106"/>
    <s v="June"/>
    <x v="4"/>
    <x v="819"/>
    <x v="3"/>
    <x v="0"/>
    <x v="12"/>
    <n v="32.82"/>
    <x v="3"/>
  </r>
  <r>
    <x v="107"/>
    <s v="June"/>
    <x v="5"/>
    <x v="820"/>
    <x v="0"/>
    <x v="0"/>
    <x v="311"/>
    <n v="37.72"/>
    <x v="0"/>
  </r>
  <r>
    <x v="107"/>
    <s v="June"/>
    <x v="5"/>
    <x v="821"/>
    <x v="0"/>
    <x v="0"/>
    <x v="141"/>
    <n v="27.92"/>
    <x v="5"/>
  </r>
  <r>
    <x v="107"/>
    <s v="June"/>
    <x v="5"/>
    <x v="822"/>
    <x v="0"/>
    <x v="0"/>
    <x v="312"/>
    <n v="27.92"/>
    <x v="2"/>
  </r>
  <r>
    <x v="107"/>
    <s v="June"/>
    <x v="5"/>
    <x v="823"/>
    <x v="0"/>
    <x v="0"/>
    <x v="313"/>
    <n v="37.72"/>
    <x v="0"/>
  </r>
  <r>
    <x v="107"/>
    <s v="June"/>
    <x v="5"/>
    <x v="824"/>
    <x v="0"/>
    <x v="0"/>
    <x v="313"/>
    <n v="37.72"/>
    <x v="4"/>
  </r>
  <r>
    <x v="107"/>
    <s v="June"/>
    <x v="5"/>
    <x v="825"/>
    <x v="1"/>
    <x v="0"/>
    <x v="164"/>
    <n v="32.82"/>
    <x v="3"/>
  </r>
  <r>
    <x v="107"/>
    <s v="June"/>
    <x v="5"/>
    <x v="826"/>
    <x v="2"/>
    <x v="0"/>
    <x v="153"/>
    <n v="37.72"/>
    <x v="7"/>
  </r>
  <r>
    <x v="107"/>
    <s v="June"/>
    <x v="5"/>
    <x v="827"/>
    <x v="2"/>
    <x v="0"/>
    <x v="153"/>
    <n v="37.72"/>
    <x v="0"/>
  </r>
  <r>
    <x v="107"/>
    <s v="June"/>
    <x v="5"/>
    <x v="828"/>
    <x v="2"/>
    <x v="0"/>
    <x v="8"/>
    <n v="32.82"/>
    <x v="3"/>
  </r>
  <r>
    <x v="107"/>
    <s v="June"/>
    <x v="5"/>
    <x v="829"/>
    <x v="3"/>
    <x v="0"/>
    <x v="192"/>
    <n v="37.72"/>
    <x v="7"/>
  </r>
  <r>
    <x v="107"/>
    <s v="June"/>
    <x v="5"/>
    <x v="830"/>
    <x v="3"/>
    <x v="0"/>
    <x v="192"/>
    <n v="32.82"/>
    <x v="3"/>
  </r>
  <r>
    <x v="108"/>
    <s v="June"/>
    <x v="6"/>
    <x v="831"/>
    <x v="0"/>
    <x v="0"/>
    <x v="97"/>
    <n v="37.72"/>
    <x v="0"/>
  </r>
  <r>
    <x v="108"/>
    <s v="June"/>
    <x v="6"/>
    <x v="832"/>
    <x v="2"/>
    <x v="0"/>
    <x v="314"/>
    <n v="37.72"/>
    <x v="0"/>
  </r>
  <r>
    <x v="108"/>
    <s v="June"/>
    <x v="6"/>
    <x v="833"/>
    <x v="2"/>
    <x v="0"/>
    <x v="314"/>
    <n v="37.72"/>
    <x v="0"/>
  </r>
  <r>
    <x v="108"/>
    <s v="June"/>
    <x v="6"/>
    <x v="834"/>
    <x v="3"/>
    <x v="0"/>
    <x v="257"/>
    <n v="37.72"/>
    <x v="0"/>
  </r>
  <r>
    <x v="108"/>
    <s v="June"/>
    <x v="6"/>
    <x v="835"/>
    <x v="3"/>
    <x v="0"/>
    <x v="8"/>
    <n v="37.72"/>
    <x v="0"/>
  </r>
  <r>
    <x v="108"/>
    <s v="June"/>
    <x v="6"/>
    <x v="836"/>
    <x v="3"/>
    <x v="0"/>
    <x v="8"/>
    <n v="32.82"/>
    <x v="3"/>
  </r>
  <r>
    <x v="109"/>
    <s v="June"/>
    <x v="0"/>
    <x v="837"/>
    <x v="0"/>
    <x v="0"/>
    <x v="311"/>
    <n v="37.72"/>
    <x v="0"/>
  </r>
  <r>
    <x v="109"/>
    <s v="June"/>
    <x v="0"/>
    <x v="838"/>
    <x v="0"/>
    <x v="0"/>
    <x v="315"/>
    <n v="27.92"/>
    <x v="2"/>
  </r>
  <r>
    <x v="109"/>
    <s v="June"/>
    <x v="0"/>
    <x v="839"/>
    <x v="1"/>
    <x v="0"/>
    <x v="12"/>
    <n v="32.82"/>
    <x v="3"/>
  </r>
  <r>
    <x v="109"/>
    <s v="June"/>
    <x v="0"/>
    <x v="840"/>
    <x v="1"/>
    <x v="0"/>
    <x v="12"/>
    <n v="32.82"/>
    <x v="3"/>
  </r>
  <r>
    <x v="109"/>
    <s v="June"/>
    <x v="0"/>
    <x v="841"/>
    <x v="2"/>
    <x v="0"/>
    <x v="316"/>
    <n v="23.02"/>
    <x v="6"/>
  </r>
  <r>
    <x v="109"/>
    <s v="June"/>
    <x v="0"/>
    <x v="842"/>
    <x v="2"/>
    <x v="0"/>
    <x v="8"/>
    <n v="37.72"/>
    <x v="0"/>
  </r>
  <r>
    <x v="109"/>
    <s v="June"/>
    <x v="0"/>
    <x v="843"/>
    <x v="2"/>
    <x v="0"/>
    <x v="154"/>
    <n v="37.72"/>
    <x v="7"/>
  </r>
  <r>
    <x v="109"/>
    <s v="June"/>
    <x v="0"/>
    <x v="844"/>
    <x v="2"/>
    <x v="0"/>
    <x v="154"/>
    <n v="37.72"/>
    <x v="7"/>
  </r>
  <r>
    <x v="109"/>
    <s v="June"/>
    <x v="0"/>
    <x v="845"/>
    <x v="2"/>
    <x v="0"/>
    <x v="180"/>
    <n v="37.72"/>
    <x v="7"/>
  </r>
  <r>
    <x v="109"/>
    <s v="June"/>
    <x v="0"/>
    <x v="846"/>
    <x v="2"/>
    <x v="0"/>
    <x v="180"/>
    <n v="37.72"/>
    <x v="7"/>
  </r>
  <r>
    <x v="109"/>
    <s v="June"/>
    <x v="0"/>
    <x v="847"/>
    <x v="2"/>
    <x v="0"/>
    <x v="180"/>
    <n v="27.92"/>
    <x v="2"/>
  </r>
  <r>
    <x v="109"/>
    <s v="June"/>
    <x v="0"/>
    <x v="848"/>
    <x v="2"/>
    <x v="0"/>
    <x v="311"/>
    <n v="32.82"/>
    <x v="3"/>
  </r>
  <r>
    <x v="110"/>
    <s v="June"/>
    <x v="1"/>
    <x v="849"/>
    <x v="0"/>
    <x v="0"/>
    <x v="141"/>
    <n v="27.92"/>
    <x v="5"/>
  </r>
  <r>
    <x v="110"/>
    <s v="June"/>
    <x v="1"/>
    <x v="850"/>
    <x v="0"/>
    <x v="0"/>
    <x v="311"/>
    <n v="32.82"/>
    <x v="3"/>
  </r>
  <r>
    <x v="110"/>
    <s v="June"/>
    <x v="1"/>
    <x v="851"/>
    <x v="1"/>
    <x v="0"/>
    <x v="317"/>
    <n v="32.82"/>
    <x v="3"/>
  </r>
  <r>
    <x v="110"/>
    <s v="June"/>
    <x v="1"/>
    <x v="852"/>
    <x v="1"/>
    <x v="0"/>
    <x v="8"/>
    <n v="37.72"/>
    <x v="0"/>
  </r>
  <r>
    <x v="110"/>
    <s v="June"/>
    <x v="1"/>
    <x v="853"/>
    <x v="3"/>
    <x v="0"/>
    <x v="318"/>
    <n v="37.72"/>
    <x v="7"/>
  </r>
  <r>
    <x v="111"/>
    <s v="June"/>
    <x v="2"/>
    <x v="854"/>
    <x v="2"/>
    <x v="0"/>
    <x v="12"/>
    <n v="32.82"/>
    <x v="3"/>
  </r>
  <r>
    <x v="111"/>
    <s v="June"/>
    <x v="2"/>
    <x v="855"/>
    <x v="2"/>
    <x v="0"/>
    <x v="12"/>
    <n v="32.82"/>
    <x v="3"/>
  </r>
  <r>
    <x v="111"/>
    <s v="June"/>
    <x v="2"/>
    <x v="856"/>
    <x v="3"/>
    <x v="0"/>
    <x v="319"/>
    <n v="37.72"/>
    <x v="7"/>
  </r>
  <r>
    <x v="111"/>
    <s v="June"/>
    <x v="2"/>
    <x v="857"/>
    <x v="3"/>
    <x v="0"/>
    <x v="320"/>
    <n v="37.72"/>
    <x v="0"/>
  </r>
  <r>
    <x v="111"/>
    <s v="June"/>
    <x v="2"/>
    <x v="858"/>
    <x v="3"/>
    <x v="0"/>
    <x v="320"/>
    <n v="37.72"/>
    <x v="7"/>
  </r>
  <r>
    <x v="112"/>
    <s v="June"/>
    <x v="3"/>
    <x v="859"/>
    <x v="0"/>
    <x v="0"/>
    <x v="164"/>
    <n v="32.82"/>
    <x v="3"/>
  </r>
  <r>
    <x v="112"/>
    <s v="June"/>
    <x v="3"/>
    <x v="860"/>
    <x v="0"/>
    <x v="0"/>
    <x v="180"/>
    <n v="37.72"/>
    <x v="7"/>
  </r>
  <r>
    <x v="112"/>
    <s v="June"/>
    <x v="3"/>
    <x v="861"/>
    <x v="0"/>
    <x v="0"/>
    <x v="180"/>
    <n v="37.72"/>
    <x v="7"/>
  </r>
  <r>
    <x v="112"/>
    <s v="June"/>
    <x v="3"/>
    <x v="862"/>
    <x v="1"/>
    <x v="0"/>
    <x v="321"/>
    <n v="37.72"/>
    <x v="0"/>
  </r>
  <r>
    <x v="112"/>
    <s v="June"/>
    <x v="3"/>
    <x v="863"/>
    <x v="2"/>
    <x v="0"/>
    <x v="203"/>
    <n v="37.72"/>
    <x v="7"/>
  </r>
  <r>
    <x v="112"/>
    <s v="June"/>
    <x v="3"/>
    <x v="864"/>
    <x v="2"/>
    <x v="0"/>
    <x v="203"/>
    <n v="37.72"/>
    <x v="7"/>
  </r>
  <r>
    <x v="113"/>
    <s v="June"/>
    <x v="4"/>
    <x v="865"/>
    <x v="0"/>
    <x v="0"/>
    <x v="322"/>
    <n v="37.72"/>
    <x v="0"/>
  </r>
  <r>
    <x v="113"/>
    <s v="June"/>
    <x v="4"/>
    <x v="866"/>
    <x v="0"/>
    <x v="0"/>
    <x v="12"/>
    <n v="32.82"/>
    <x v="3"/>
  </r>
  <r>
    <x v="113"/>
    <s v="June"/>
    <x v="4"/>
    <x v="867"/>
    <x v="0"/>
    <x v="0"/>
    <x v="40"/>
    <n v="32.82"/>
    <x v="3"/>
  </r>
  <r>
    <x v="113"/>
    <s v="June"/>
    <x v="4"/>
    <x v="868"/>
    <x v="0"/>
    <x v="0"/>
    <x v="203"/>
    <n v="37.72"/>
    <x v="7"/>
  </r>
  <r>
    <x v="114"/>
    <s v="June"/>
    <x v="5"/>
    <x v="869"/>
    <x v="0"/>
    <x v="0"/>
    <x v="323"/>
    <n v="37.72"/>
    <x v="0"/>
  </r>
  <r>
    <x v="114"/>
    <s v="June"/>
    <x v="5"/>
    <x v="870"/>
    <x v="2"/>
    <x v="0"/>
    <x v="324"/>
    <n v="23.02"/>
    <x v="6"/>
  </r>
  <r>
    <x v="114"/>
    <s v="June"/>
    <x v="5"/>
    <x v="871"/>
    <x v="2"/>
    <x v="0"/>
    <x v="325"/>
    <n v="27.92"/>
    <x v="2"/>
  </r>
  <r>
    <x v="114"/>
    <s v="June"/>
    <x v="5"/>
    <x v="872"/>
    <x v="3"/>
    <x v="0"/>
    <x v="8"/>
    <n v="37.72"/>
    <x v="0"/>
  </r>
  <r>
    <x v="114"/>
    <s v="June"/>
    <x v="5"/>
    <x v="873"/>
    <x v="3"/>
    <x v="0"/>
    <x v="8"/>
    <n v="37.72"/>
    <x v="7"/>
  </r>
  <r>
    <x v="114"/>
    <s v="June"/>
    <x v="5"/>
    <x v="874"/>
    <x v="3"/>
    <x v="0"/>
    <x v="206"/>
    <n v="32.82"/>
    <x v="3"/>
  </r>
  <r>
    <x v="115"/>
    <s v="June"/>
    <x v="6"/>
    <x v="875"/>
    <x v="0"/>
    <x v="0"/>
    <x v="326"/>
    <n v="32.82"/>
    <x v="3"/>
  </r>
  <r>
    <x v="115"/>
    <s v="June"/>
    <x v="6"/>
    <x v="876"/>
    <x v="2"/>
    <x v="0"/>
    <x v="327"/>
    <n v="27.92"/>
    <x v="5"/>
  </r>
  <r>
    <x v="115"/>
    <s v="June"/>
    <x v="6"/>
    <x v="877"/>
    <x v="3"/>
    <x v="0"/>
    <x v="328"/>
    <n v="32.82"/>
    <x v="3"/>
  </r>
  <r>
    <x v="115"/>
    <s v="June"/>
    <x v="6"/>
    <x v="878"/>
    <x v="3"/>
    <x v="0"/>
    <x v="329"/>
    <n v="37.72"/>
    <x v="7"/>
  </r>
  <r>
    <x v="116"/>
    <s v="June"/>
    <x v="0"/>
    <x v="879"/>
    <x v="0"/>
    <x v="0"/>
    <x v="141"/>
    <n v="27.92"/>
    <x v="5"/>
  </r>
  <r>
    <x v="116"/>
    <s v="June"/>
    <x v="0"/>
    <x v="880"/>
    <x v="2"/>
    <x v="0"/>
    <x v="274"/>
    <n v="23.02"/>
    <x v="6"/>
  </r>
  <r>
    <x v="116"/>
    <s v="June"/>
    <x v="0"/>
    <x v="881"/>
    <x v="3"/>
    <x v="0"/>
    <x v="330"/>
    <n v="32.82"/>
    <x v="3"/>
  </r>
  <r>
    <x v="116"/>
    <s v="June"/>
    <x v="0"/>
    <x v="882"/>
    <x v="3"/>
    <x v="0"/>
    <x v="331"/>
    <n v="37.72"/>
    <x v="0"/>
  </r>
  <r>
    <x v="116"/>
    <s v="June"/>
    <x v="0"/>
    <x v="883"/>
    <x v="3"/>
    <x v="0"/>
    <x v="332"/>
    <n v="37.72"/>
    <x v="7"/>
  </r>
  <r>
    <x v="117"/>
    <s v="June"/>
    <x v="1"/>
    <x v="884"/>
    <x v="0"/>
    <x v="0"/>
    <x v="97"/>
    <n v="32.82"/>
    <x v="3"/>
  </r>
  <r>
    <x v="117"/>
    <s v="June"/>
    <x v="1"/>
    <x v="885"/>
    <x v="0"/>
    <x v="0"/>
    <x v="333"/>
    <n v="32.82"/>
    <x v="3"/>
  </r>
  <r>
    <x v="117"/>
    <s v="June"/>
    <x v="1"/>
    <x v="886"/>
    <x v="0"/>
    <x v="0"/>
    <x v="333"/>
    <n v="32.82"/>
    <x v="3"/>
  </r>
  <r>
    <x v="117"/>
    <s v="June"/>
    <x v="1"/>
    <x v="887"/>
    <x v="1"/>
    <x v="0"/>
    <x v="334"/>
    <n v="37.72"/>
    <x v="7"/>
  </r>
  <r>
    <x v="117"/>
    <s v="June"/>
    <x v="1"/>
    <x v="888"/>
    <x v="1"/>
    <x v="0"/>
    <x v="334"/>
    <n v="37.72"/>
    <x v="7"/>
  </r>
  <r>
    <x v="117"/>
    <s v="June"/>
    <x v="1"/>
    <x v="889"/>
    <x v="2"/>
    <x v="0"/>
    <x v="335"/>
    <n v="37.72"/>
    <x v="7"/>
  </r>
  <r>
    <x v="117"/>
    <s v="June"/>
    <x v="1"/>
    <x v="890"/>
    <x v="2"/>
    <x v="0"/>
    <x v="335"/>
    <n v="37.72"/>
    <x v="1"/>
  </r>
  <r>
    <x v="117"/>
    <s v="June"/>
    <x v="1"/>
    <x v="891"/>
    <x v="3"/>
    <x v="0"/>
    <x v="8"/>
    <n v="37.72"/>
    <x v="0"/>
  </r>
  <r>
    <x v="118"/>
    <s v="June"/>
    <x v="2"/>
    <x v="892"/>
    <x v="0"/>
    <x v="0"/>
    <x v="336"/>
    <n v="37.72"/>
    <x v="0"/>
  </r>
  <r>
    <x v="118"/>
    <s v="June"/>
    <x v="2"/>
    <x v="893"/>
    <x v="1"/>
    <x v="0"/>
    <x v="337"/>
    <n v="23.02"/>
    <x v="6"/>
  </r>
  <r>
    <x v="118"/>
    <s v="June"/>
    <x v="2"/>
    <x v="894"/>
    <x v="2"/>
    <x v="0"/>
    <x v="8"/>
    <n v="37.72"/>
    <x v="1"/>
  </r>
  <r>
    <x v="118"/>
    <s v="June"/>
    <x v="2"/>
    <x v="895"/>
    <x v="3"/>
    <x v="0"/>
    <x v="97"/>
    <n v="32.82"/>
    <x v="3"/>
  </r>
  <r>
    <x v="119"/>
    <s v="July"/>
    <x v="3"/>
    <x v="896"/>
    <x v="2"/>
    <x v="0"/>
    <x v="12"/>
    <n v="23.02"/>
    <x v="6"/>
  </r>
  <r>
    <x v="119"/>
    <s v="July"/>
    <x v="3"/>
    <x v="897"/>
    <x v="2"/>
    <x v="0"/>
    <x v="338"/>
    <n v="37.72"/>
    <x v="7"/>
  </r>
  <r>
    <x v="119"/>
    <s v="July"/>
    <x v="3"/>
    <x v="898"/>
    <x v="2"/>
    <x v="0"/>
    <x v="339"/>
    <n v="37.72"/>
    <x v="7"/>
  </r>
  <r>
    <x v="120"/>
    <s v="July"/>
    <x v="4"/>
    <x v="899"/>
    <x v="0"/>
    <x v="0"/>
    <x v="304"/>
    <n v="32.82"/>
    <x v="3"/>
  </r>
  <r>
    <x v="120"/>
    <s v="July"/>
    <x v="4"/>
    <x v="900"/>
    <x v="0"/>
    <x v="0"/>
    <x v="304"/>
    <n v="27.92"/>
    <x v="2"/>
  </r>
  <r>
    <x v="120"/>
    <s v="July"/>
    <x v="4"/>
    <x v="901"/>
    <x v="1"/>
    <x v="0"/>
    <x v="19"/>
    <n v="37.72"/>
    <x v="0"/>
  </r>
  <r>
    <x v="120"/>
    <s v="July"/>
    <x v="4"/>
    <x v="902"/>
    <x v="1"/>
    <x v="0"/>
    <x v="340"/>
    <n v="27.92"/>
    <x v="2"/>
  </r>
  <r>
    <x v="120"/>
    <s v="July"/>
    <x v="4"/>
    <x v="903"/>
    <x v="2"/>
    <x v="0"/>
    <x v="341"/>
    <n v="32.82"/>
    <x v="3"/>
  </r>
  <r>
    <x v="120"/>
    <s v="July"/>
    <x v="4"/>
    <x v="904"/>
    <x v="3"/>
    <x v="0"/>
    <x v="329"/>
    <n v="32.82"/>
    <x v="3"/>
  </r>
  <r>
    <x v="121"/>
    <s v="July"/>
    <x v="5"/>
    <x v="905"/>
    <x v="1"/>
    <x v="0"/>
    <x v="12"/>
    <n v="32.82"/>
    <x v="3"/>
  </r>
  <r>
    <x v="121"/>
    <s v="July"/>
    <x v="5"/>
    <x v="906"/>
    <x v="2"/>
    <x v="0"/>
    <x v="342"/>
    <n v="37.72"/>
    <x v="7"/>
  </r>
  <r>
    <x v="121"/>
    <s v="July"/>
    <x v="5"/>
    <x v="907"/>
    <x v="2"/>
    <x v="0"/>
    <x v="343"/>
    <n v="37.72"/>
    <x v="7"/>
  </r>
  <r>
    <x v="121"/>
    <s v="July"/>
    <x v="5"/>
    <x v="908"/>
    <x v="2"/>
    <x v="0"/>
    <x v="270"/>
    <n v="32.82"/>
    <x v="3"/>
  </r>
  <r>
    <x v="121"/>
    <s v="July"/>
    <x v="5"/>
    <x v="909"/>
    <x v="2"/>
    <x v="0"/>
    <x v="344"/>
    <n v="32.82"/>
    <x v="3"/>
  </r>
  <r>
    <x v="121"/>
    <s v="July"/>
    <x v="5"/>
    <x v="910"/>
    <x v="2"/>
    <x v="0"/>
    <x v="270"/>
    <n v="37.72"/>
    <x v="0"/>
  </r>
  <r>
    <x v="121"/>
    <s v="July"/>
    <x v="5"/>
    <x v="911"/>
    <x v="2"/>
    <x v="0"/>
    <x v="345"/>
    <n v="23.02"/>
    <x v="6"/>
  </r>
  <r>
    <x v="121"/>
    <s v="July"/>
    <x v="5"/>
    <x v="912"/>
    <x v="2"/>
    <x v="0"/>
    <x v="346"/>
    <n v="37.72"/>
    <x v="7"/>
  </r>
  <r>
    <x v="121"/>
    <s v="July"/>
    <x v="5"/>
    <x v="913"/>
    <x v="2"/>
    <x v="0"/>
    <x v="8"/>
    <n v="37.72"/>
    <x v="0"/>
  </r>
  <r>
    <x v="122"/>
    <s v="July"/>
    <x v="6"/>
    <x v="914"/>
    <x v="0"/>
    <x v="0"/>
    <x v="143"/>
    <n v="32.82"/>
    <x v="3"/>
  </r>
  <r>
    <x v="122"/>
    <s v="July"/>
    <x v="6"/>
    <x v="915"/>
    <x v="0"/>
    <x v="0"/>
    <x v="12"/>
    <n v="27.92"/>
    <x v="2"/>
  </r>
  <r>
    <x v="123"/>
    <s v="July"/>
    <x v="0"/>
    <x v="916"/>
    <x v="1"/>
    <x v="0"/>
    <x v="58"/>
    <n v="37.72"/>
    <x v="4"/>
  </r>
  <r>
    <x v="123"/>
    <s v="July"/>
    <x v="0"/>
    <x v="917"/>
    <x v="1"/>
    <x v="0"/>
    <x v="40"/>
    <n v="32.82"/>
    <x v="3"/>
  </r>
  <r>
    <x v="123"/>
    <s v="July"/>
    <x v="0"/>
    <x v="918"/>
    <x v="1"/>
    <x v="0"/>
    <x v="347"/>
    <n v="32.82"/>
    <x v="3"/>
  </r>
  <r>
    <x v="123"/>
    <s v="July"/>
    <x v="0"/>
    <x v="919"/>
    <x v="2"/>
    <x v="0"/>
    <x v="348"/>
    <n v="23.02"/>
    <x v="6"/>
  </r>
  <r>
    <x v="123"/>
    <s v="July"/>
    <x v="0"/>
    <x v="920"/>
    <x v="2"/>
    <x v="0"/>
    <x v="99"/>
    <n v="27.92"/>
    <x v="2"/>
  </r>
  <r>
    <x v="123"/>
    <s v="July"/>
    <x v="0"/>
    <x v="921"/>
    <x v="3"/>
    <x v="0"/>
    <x v="349"/>
    <n v="23.02"/>
    <x v="6"/>
  </r>
  <r>
    <x v="123"/>
    <s v="July"/>
    <x v="0"/>
    <x v="922"/>
    <x v="3"/>
    <x v="0"/>
    <x v="350"/>
    <n v="27.92"/>
    <x v="2"/>
  </r>
  <r>
    <x v="123"/>
    <s v="July"/>
    <x v="0"/>
    <x v="923"/>
    <x v="3"/>
    <x v="0"/>
    <x v="350"/>
    <n v="27.92"/>
    <x v="2"/>
  </r>
  <r>
    <x v="123"/>
    <s v="July"/>
    <x v="0"/>
    <x v="924"/>
    <x v="3"/>
    <x v="0"/>
    <x v="351"/>
    <n v="37.72"/>
    <x v="7"/>
  </r>
  <r>
    <x v="123"/>
    <s v="July"/>
    <x v="0"/>
    <x v="925"/>
    <x v="3"/>
    <x v="0"/>
    <x v="351"/>
    <n v="32.82"/>
    <x v="3"/>
  </r>
  <r>
    <x v="124"/>
    <s v="July"/>
    <x v="1"/>
    <x v="926"/>
    <x v="0"/>
    <x v="0"/>
    <x v="352"/>
    <n v="37.72"/>
    <x v="0"/>
  </r>
  <r>
    <x v="124"/>
    <s v="July"/>
    <x v="1"/>
    <x v="927"/>
    <x v="2"/>
    <x v="0"/>
    <x v="8"/>
    <n v="32.82"/>
    <x v="0"/>
  </r>
  <r>
    <x v="124"/>
    <s v="July"/>
    <x v="1"/>
    <x v="928"/>
    <x v="2"/>
    <x v="0"/>
    <x v="8"/>
    <n v="32.82"/>
    <x v="0"/>
  </r>
  <r>
    <x v="124"/>
    <s v="July"/>
    <x v="1"/>
    <x v="929"/>
    <x v="2"/>
    <x v="0"/>
    <x v="12"/>
    <n v="32.82"/>
    <x v="0"/>
  </r>
  <r>
    <x v="124"/>
    <s v="July"/>
    <x v="1"/>
    <x v="930"/>
    <x v="2"/>
    <x v="0"/>
    <x v="12"/>
    <n v="27.92"/>
    <x v="3"/>
  </r>
  <r>
    <x v="125"/>
    <s v="July"/>
    <x v="2"/>
    <x v="931"/>
    <x v="0"/>
    <x v="0"/>
    <x v="303"/>
    <n v="32.82"/>
    <x v="7"/>
  </r>
  <r>
    <x v="125"/>
    <s v="July"/>
    <x v="2"/>
    <x v="932"/>
    <x v="0"/>
    <x v="0"/>
    <x v="353"/>
    <n v="27.92"/>
    <x v="3"/>
  </r>
  <r>
    <x v="125"/>
    <s v="July"/>
    <x v="2"/>
    <x v="933"/>
    <x v="0"/>
    <x v="0"/>
    <x v="353"/>
    <n v="27.92"/>
    <x v="3"/>
  </r>
  <r>
    <x v="125"/>
    <s v="July"/>
    <x v="2"/>
    <x v="934"/>
    <x v="0"/>
    <x v="0"/>
    <x v="354"/>
    <n v="32.82"/>
    <x v="7"/>
  </r>
  <r>
    <x v="125"/>
    <s v="July"/>
    <x v="2"/>
    <x v="935"/>
    <x v="0"/>
    <x v="0"/>
    <x v="354"/>
    <n v="32.82"/>
    <x v="7"/>
  </r>
  <r>
    <x v="125"/>
    <s v="July"/>
    <x v="2"/>
    <x v="936"/>
    <x v="1"/>
    <x v="0"/>
    <x v="355"/>
    <n v="32.82"/>
    <x v="1"/>
  </r>
  <r>
    <x v="125"/>
    <s v="July"/>
    <x v="2"/>
    <x v="937"/>
    <x v="1"/>
    <x v="0"/>
    <x v="355"/>
    <n v="32.82"/>
    <x v="4"/>
  </r>
  <r>
    <x v="125"/>
    <s v="July"/>
    <x v="2"/>
    <x v="938"/>
    <x v="2"/>
    <x v="0"/>
    <x v="356"/>
    <n v="32.82"/>
    <x v="0"/>
  </r>
  <r>
    <x v="125"/>
    <s v="July"/>
    <x v="2"/>
    <x v="939"/>
    <x v="2"/>
    <x v="0"/>
    <x v="357"/>
    <n v="32.82"/>
    <x v="7"/>
  </r>
  <r>
    <x v="125"/>
    <s v="July"/>
    <x v="2"/>
    <x v="940"/>
    <x v="3"/>
    <x v="0"/>
    <x v="358"/>
    <n v="32.82"/>
    <x v="1"/>
  </r>
  <r>
    <x v="125"/>
    <s v="July"/>
    <x v="2"/>
    <x v="941"/>
    <x v="3"/>
    <x v="0"/>
    <x v="359"/>
    <n v="27.92"/>
    <x v="3"/>
  </r>
  <r>
    <x v="126"/>
    <s v="July"/>
    <x v="3"/>
    <x v="942"/>
    <x v="0"/>
    <x v="0"/>
    <x v="360"/>
    <n v="32.82"/>
    <x v="0"/>
  </r>
  <r>
    <x v="126"/>
    <s v="July"/>
    <x v="3"/>
    <x v="943"/>
    <x v="1"/>
    <x v="0"/>
    <x v="361"/>
    <n v="23.02"/>
    <x v="2"/>
  </r>
  <r>
    <x v="126"/>
    <s v="July"/>
    <x v="3"/>
    <x v="944"/>
    <x v="1"/>
    <x v="0"/>
    <x v="362"/>
    <n v="23.02"/>
    <x v="2"/>
  </r>
  <r>
    <x v="126"/>
    <s v="July"/>
    <x v="3"/>
    <x v="945"/>
    <x v="2"/>
    <x v="0"/>
    <x v="363"/>
    <n v="27.92"/>
    <x v="3"/>
  </r>
  <r>
    <x v="126"/>
    <s v="July"/>
    <x v="3"/>
    <x v="946"/>
    <x v="3"/>
    <x v="0"/>
    <x v="19"/>
    <n v="32.82"/>
    <x v="0"/>
  </r>
  <r>
    <x v="127"/>
    <s v="July"/>
    <x v="4"/>
    <x v="947"/>
    <x v="0"/>
    <x v="0"/>
    <x v="333"/>
    <n v="27.92"/>
    <x v="3"/>
  </r>
  <r>
    <x v="127"/>
    <s v="July"/>
    <x v="4"/>
    <x v="948"/>
    <x v="0"/>
    <x v="0"/>
    <x v="276"/>
    <n v="27.92"/>
    <x v="3"/>
  </r>
  <r>
    <x v="127"/>
    <s v="July"/>
    <x v="4"/>
    <x v="949"/>
    <x v="0"/>
    <x v="0"/>
    <x v="194"/>
    <n v="27.92"/>
    <x v="3"/>
  </r>
  <r>
    <x v="127"/>
    <s v="July"/>
    <x v="4"/>
    <x v="950"/>
    <x v="0"/>
    <x v="0"/>
    <x v="194"/>
    <n v="32.82"/>
    <x v="7"/>
  </r>
  <r>
    <x v="127"/>
    <s v="July"/>
    <x v="4"/>
    <x v="951"/>
    <x v="2"/>
    <x v="0"/>
    <x v="364"/>
    <n v="27.92"/>
    <x v="3"/>
  </r>
  <r>
    <x v="128"/>
    <s v="July"/>
    <x v="5"/>
    <x v="952"/>
    <x v="0"/>
    <x v="0"/>
    <x v="365"/>
    <n v="23.02"/>
    <x v="2"/>
  </r>
  <r>
    <x v="128"/>
    <s v="July"/>
    <x v="5"/>
    <x v="953"/>
    <x v="1"/>
    <x v="0"/>
    <x v="366"/>
    <n v="27.92"/>
    <x v="3"/>
  </r>
  <r>
    <x v="128"/>
    <s v="July"/>
    <x v="5"/>
    <x v="954"/>
    <x v="3"/>
    <x v="0"/>
    <x v="328"/>
    <n v="32.82"/>
    <x v="0"/>
  </r>
  <r>
    <x v="129"/>
    <s v="July"/>
    <x v="6"/>
    <x v="955"/>
    <x v="0"/>
    <x v="0"/>
    <x v="367"/>
    <n v="32.82"/>
    <x v="1"/>
  </r>
  <r>
    <x v="129"/>
    <s v="July"/>
    <x v="6"/>
    <x v="956"/>
    <x v="2"/>
    <x v="0"/>
    <x v="368"/>
    <n v="27.92"/>
    <x v="3"/>
  </r>
  <r>
    <x v="129"/>
    <s v="July"/>
    <x v="6"/>
    <x v="957"/>
    <x v="3"/>
    <x v="0"/>
    <x v="369"/>
    <n v="32.82"/>
    <x v="0"/>
  </r>
  <r>
    <x v="129"/>
    <s v="July"/>
    <x v="6"/>
    <x v="958"/>
    <x v="3"/>
    <x v="0"/>
    <x v="370"/>
    <n v="23.02"/>
    <x v="2"/>
  </r>
  <r>
    <x v="130"/>
    <s v="July"/>
    <x v="0"/>
    <x v="959"/>
    <x v="0"/>
    <x v="0"/>
    <x v="371"/>
    <n v="23.02"/>
    <x v="5"/>
  </r>
  <r>
    <x v="130"/>
    <s v="July"/>
    <x v="0"/>
    <x v="960"/>
    <x v="0"/>
    <x v="0"/>
    <x v="372"/>
    <n v="32.82"/>
    <x v="1"/>
  </r>
  <r>
    <x v="130"/>
    <s v="July"/>
    <x v="0"/>
    <x v="961"/>
    <x v="3"/>
    <x v="0"/>
    <x v="178"/>
    <n v="32.82"/>
    <x v="1"/>
  </r>
  <r>
    <x v="130"/>
    <s v="July"/>
    <x v="0"/>
    <x v="962"/>
    <x v="3"/>
    <x v="0"/>
    <x v="177"/>
    <n v="32.82"/>
    <x v="1"/>
  </r>
  <r>
    <x v="130"/>
    <s v="July"/>
    <x v="0"/>
    <x v="963"/>
    <x v="3"/>
    <x v="0"/>
    <x v="179"/>
    <n v="32.82"/>
    <x v="1"/>
  </r>
  <r>
    <x v="131"/>
    <s v="July"/>
    <x v="1"/>
    <x v="964"/>
    <x v="0"/>
    <x v="0"/>
    <x v="365"/>
    <n v="32.82"/>
    <x v="0"/>
  </r>
  <r>
    <x v="131"/>
    <s v="July"/>
    <x v="1"/>
    <x v="965"/>
    <x v="0"/>
    <x v="0"/>
    <x v="365"/>
    <n v="32.82"/>
    <x v="0"/>
  </r>
  <r>
    <x v="132"/>
    <s v="July"/>
    <x v="2"/>
    <x v="966"/>
    <x v="0"/>
    <x v="0"/>
    <x v="373"/>
    <n v="23.02"/>
    <x v="2"/>
  </r>
  <r>
    <x v="132"/>
    <s v="July"/>
    <x v="2"/>
    <x v="967"/>
    <x v="0"/>
    <x v="0"/>
    <x v="373"/>
    <n v="27.92"/>
    <x v="3"/>
  </r>
  <r>
    <x v="132"/>
    <s v="July"/>
    <x v="2"/>
    <x v="968"/>
    <x v="0"/>
    <x v="0"/>
    <x v="373"/>
    <n v="32.82"/>
    <x v="7"/>
  </r>
  <r>
    <x v="132"/>
    <s v="July"/>
    <x v="2"/>
    <x v="969"/>
    <x v="0"/>
    <x v="0"/>
    <x v="374"/>
    <n v="32.82"/>
    <x v="0"/>
  </r>
  <r>
    <x v="132"/>
    <s v="July"/>
    <x v="2"/>
    <x v="970"/>
    <x v="0"/>
    <x v="0"/>
    <x v="375"/>
    <n v="23.02"/>
    <x v="2"/>
  </r>
  <r>
    <x v="132"/>
    <s v="July"/>
    <x v="2"/>
    <x v="971"/>
    <x v="3"/>
    <x v="0"/>
    <x v="376"/>
    <n v="32.82"/>
    <x v="0"/>
  </r>
  <r>
    <x v="133"/>
    <s v="July"/>
    <x v="3"/>
    <x v="972"/>
    <x v="0"/>
    <x v="0"/>
    <x v="377"/>
    <n v="32.82"/>
    <x v="7"/>
  </r>
  <r>
    <x v="134"/>
    <s v="July"/>
    <x v="4"/>
    <x v="973"/>
    <x v="1"/>
    <x v="0"/>
    <x v="378"/>
    <n v="27.92"/>
    <x v="3"/>
  </r>
  <r>
    <x v="134"/>
    <s v="July"/>
    <x v="4"/>
    <x v="974"/>
    <x v="2"/>
    <x v="0"/>
    <x v="367"/>
    <n v="32.82"/>
    <x v="1"/>
  </r>
  <r>
    <x v="135"/>
    <s v="July"/>
    <x v="5"/>
    <x v="975"/>
    <x v="1"/>
    <x v="0"/>
    <x v="379"/>
    <n v="27.92"/>
    <x v="3"/>
  </r>
  <r>
    <x v="136"/>
    <s v="July"/>
    <x v="6"/>
    <x v="976"/>
    <x v="0"/>
    <x v="0"/>
    <x v="380"/>
    <n v="27.92"/>
    <x v="3"/>
  </r>
  <r>
    <x v="136"/>
    <s v="July"/>
    <x v="6"/>
    <x v="977"/>
    <x v="0"/>
    <x v="0"/>
    <x v="381"/>
    <n v="18.12"/>
    <x v="6"/>
  </r>
  <r>
    <x v="136"/>
    <s v="July"/>
    <x v="6"/>
    <x v="978"/>
    <x v="0"/>
    <x v="0"/>
    <x v="59"/>
    <n v="23.02"/>
    <x v="2"/>
  </r>
  <r>
    <x v="136"/>
    <s v="July"/>
    <x v="6"/>
    <x v="979"/>
    <x v="0"/>
    <x v="0"/>
    <x v="59"/>
    <n v="23.02"/>
    <x v="2"/>
  </r>
  <r>
    <x v="136"/>
    <s v="July"/>
    <x v="6"/>
    <x v="980"/>
    <x v="0"/>
    <x v="0"/>
    <x v="59"/>
    <n v="23.02"/>
    <x v="5"/>
  </r>
  <r>
    <x v="136"/>
    <s v="July"/>
    <x v="6"/>
    <x v="981"/>
    <x v="1"/>
    <x v="0"/>
    <x v="375"/>
    <n v="32.82"/>
    <x v="0"/>
  </r>
  <r>
    <x v="136"/>
    <s v="July"/>
    <x v="6"/>
    <x v="982"/>
    <x v="2"/>
    <x v="0"/>
    <x v="382"/>
    <n v="32.82"/>
    <x v="7"/>
  </r>
  <r>
    <x v="136"/>
    <s v="July"/>
    <x v="6"/>
    <x v="983"/>
    <x v="2"/>
    <x v="0"/>
    <x v="8"/>
    <n v="32.82"/>
    <x v="0"/>
  </r>
  <r>
    <x v="136"/>
    <s v="July"/>
    <x v="6"/>
    <x v="984"/>
    <x v="3"/>
    <x v="0"/>
    <x v="383"/>
    <n v="32.82"/>
    <x v="1"/>
  </r>
  <r>
    <x v="136"/>
    <s v="July"/>
    <x v="6"/>
    <x v="985"/>
    <x v="3"/>
    <x v="0"/>
    <x v="383"/>
    <n v="32.82"/>
    <x v="0"/>
  </r>
  <r>
    <x v="136"/>
    <s v="July"/>
    <x v="6"/>
    <x v="986"/>
    <x v="3"/>
    <x v="0"/>
    <x v="384"/>
    <n v="32.82"/>
    <x v="0"/>
  </r>
  <r>
    <x v="137"/>
    <s v="July"/>
    <x v="0"/>
    <x v="987"/>
    <x v="0"/>
    <x v="0"/>
    <x v="375"/>
    <n v="23.02"/>
    <x v="2"/>
  </r>
  <r>
    <x v="137"/>
    <s v="July"/>
    <x v="0"/>
    <x v="988"/>
    <x v="0"/>
    <x v="0"/>
    <x v="385"/>
    <n v="27.92"/>
    <x v="3"/>
  </r>
  <r>
    <x v="137"/>
    <s v="July"/>
    <x v="0"/>
    <x v="989"/>
    <x v="1"/>
    <x v="0"/>
    <x v="386"/>
    <n v="32.82"/>
    <x v="0"/>
  </r>
  <r>
    <x v="137"/>
    <s v="July"/>
    <x v="0"/>
    <x v="990"/>
    <x v="1"/>
    <x v="0"/>
    <x v="386"/>
    <n v="27.92"/>
    <x v="3"/>
  </r>
  <r>
    <x v="137"/>
    <s v="July"/>
    <x v="0"/>
    <x v="991"/>
    <x v="1"/>
    <x v="0"/>
    <x v="384"/>
    <n v="32.82"/>
    <x v="0"/>
  </r>
  <r>
    <x v="137"/>
    <s v="July"/>
    <x v="0"/>
    <x v="992"/>
    <x v="1"/>
    <x v="0"/>
    <x v="384"/>
    <n v="32.82"/>
    <x v="4"/>
  </r>
  <r>
    <x v="137"/>
    <s v="July"/>
    <x v="0"/>
    <x v="993"/>
    <x v="2"/>
    <x v="0"/>
    <x v="384"/>
    <n v="32.82"/>
    <x v="0"/>
  </r>
  <r>
    <x v="137"/>
    <s v="July"/>
    <x v="0"/>
    <x v="994"/>
    <x v="2"/>
    <x v="0"/>
    <x v="384"/>
    <n v="32.82"/>
    <x v="0"/>
  </r>
  <r>
    <x v="138"/>
    <s v="July"/>
    <x v="1"/>
    <x v="995"/>
    <x v="0"/>
    <x v="0"/>
    <x v="387"/>
    <n v="23.02"/>
    <x v="2"/>
  </r>
  <r>
    <x v="138"/>
    <s v="July"/>
    <x v="1"/>
    <x v="996"/>
    <x v="0"/>
    <x v="0"/>
    <x v="387"/>
    <n v="32.82"/>
    <x v="0"/>
  </r>
  <r>
    <x v="138"/>
    <s v="July"/>
    <x v="1"/>
    <x v="997"/>
    <x v="0"/>
    <x v="0"/>
    <x v="387"/>
    <n v="23.02"/>
    <x v="2"/>
  </r>
  <r>
    <x v="138"/>
    <s v="July"/>
    <x v="1"/>
    <x v="998"/>
    <x v="0"/>
    <x v="0"/>
    <x v="388"/>
    <n v="32.82"/>
    <x v="0"/>
  </r>
  <r>
    <x v="138"/>
    <s v="July"/>
    <x v="1"/>
    <x v="999"/>
    <x v="0"/>
    <x v="0"/>
    <x v="389"/>
    <n v="32.82"/>
    <x v="0"/>
  </r>
  <r>
    <x v="138"/>
    <s v="July"/>
    <x v="1"/>
    <x v="1000"/>
    <x v="0"/>
    <x v="0"/>
    <x v="390"/>
    <n v="23.02"/>
    <x v="2"/>
  </r>
  <r>
    <x v="138"/>
    <s v="July"/>
    <x v="1"/>
    <x v="1001"/>
    <x v="1"/>
    <x v="0"/>
    <x v="391"/>
    <n v="32.82"/>
    <x v="0"/>
  </r>
  <r>
    <x v="139"/>
    <s v="July"/>
    <x v="2"/>
    <x v="1002"/>
    <x v="0"/>
    <x v="0"/>
    <x v="367"/>
    <n v="32.82"/>
    <x v="4"/>
  </r>
  <r>
    <x v="139"/>
    <s v="July"/>
    <x v="2"/>
    <x v="1003"/>
    <x v="0"/>
    <x v="0"/>
    <x v="392"/>
    <n v="32.82"/>
    <x v="7"/>
  </r>
  <r>
    <x v="139"/>
    <s v="July"/>
    <x v="2"/>
    <x v="1004"/>
    <x v="1"/>
    <x v="0"/>
    <x v="393"/>
    <n v="23.02"/>
    <x v="5"/>
  </r>
  <r>
    <x v="139"/>
    <s v="July"/>
    <x v="2"/>
    <x v="1005"/>
    <x v="1"/>
    <x v="0"/>
    <x v="394"/>
    <n v="32.82"/>
    <x v="0"/>
  </r>
  <r>
    <x v="140"/>
    <s v="July"/>
    <x v="3"/>
    <x v="1006"/>
    <x v="0"/>
    <x v="0"/>
    <x v="375"/>
    <n v="23.02"/>
    <x v="2"/>
  </r>
  <r>
    <x v="140"/>
    <s v="July"/>
    <x v="3"/>
    <x v="1007"/>
    <x v="0"/>
    <x v="0"/>
    <x v="395"/>
    <n v="23.02"/>
    <x v="2"/>
  </r>
  <r>
    <x v="140"/>
    <s v="July"/>
    <x v="3"/>
    <x v="1008"/>
    <x v="0"/>
    <x v="0"/>
    <x v="385"/>
    <n v="27.92"/>
    <x v="3"/>
  </r>
  <r>
    <x v="140"/>
    <s v="July"/>
    <x v="3"/>
    <x v="1009"/>
    <x v="2"/>
    <x v="0"/>
    <x v="396"/>
    <n v="32.82"/>
    <x v="0"/>
  </r>
  <r>
    <x v="141"/>
    <s v="July"/>
    <x v="4"/>
    <x v="1010"/>
    <x v="0"/>
    <x v="0"/>
    <x v="197"/>
    <n v="32.82"/>
    <x v="0"/>
  </r>
  <r>
    <x v="141"/>
    <s v="July"/>
    <x v="4"/>
    <x v="1011"/>
    <x v="0"/>
    <x v="0"/>
    <x v="395"/>
    <n v="23.02"/>
    <x v="2"/>
  </r>
  <r>
    <x v="141"/>
    <s v="July"/>
    <x v="4"/>
    <x v="1012"/>
    <x v="0"/>
    <x v="0"/>
    <x v="397"/>
    <n v="27.92"/>
    <x v="3"/>
  </r>
  <r>
    <x v="141"/>
    <s v="July"/>
    <x v="4"/>
    <x v="1013"/>
    <x v="0"/>
    <x v="0"/>
    <x v="398"/>
    <n v="32.82"/>
    <x v="4"/>
  </r>
  <r>
    <x v="141"/>
    <s v="July"/>
    <x v="4"/>
    <x v="1014"/>
    <x v="0"/>
    <x v="0"/>
    <x v="399"/>
    <n v="32.82"/>
    <x v="0"/>
  </r>
  <r>
    <x v="141"/>
    <s v="July"/>
    <x v="4"/>
    <x v="1015"/>
    <x v="0"/>
    <x v="0"/>
    <x v="375"/>
    <n v="23.02"/>
    <x v="2"/>
  </r>
  <r>
    <x v="141"/>
    <s v="July"/>
    <x v="4"/>
    <x v="1016"/>
    <x v="0"/>
    <x v="0"/>
    <x v="400"/>
    <n v="27.92"/>
    <x v="3"/>
  </r>
  <r>
    <x v="141"/>
    <s v="July"/>
    <x v="4"/>
    <x v="1017"/>
    <x v="1"/>
    <x v="0"/>
    <x v="401"/>
    <n v="27.92"/>
    <x v="3"/>
  </r>
  <r>
    <x v="141"/>
    <s v="July"/>
    <x v="4"/>
    <x v="1018"/>
    <x v="1"/>
    <x v="0"/>
    <x v="401"/>
    <n v="32.82"/>
    <x v="0"/>
  </r>
  <r>
    <x v="141"/>
    <s v="July"/>
    <x v="4"/>
    <x v="1019"/>
    <x v="3"/>
    <x v="0"/>
    <x v="8"/>
    <n v="32.82"/>
    <x v="0"/>
  </r>
  <r>
    <x v="141"/>
    <s v="July"/>
    <x v="4"/>
    <x v="1020"/>
    <x v="3"/>
    <x v="0"/>
    <x v="12"/>
    <n v="23.02"/>
    <x v="2"/>
  </r>
  <r>
    <x v="141"/>
    <s v="July"/>
    <x v="4"/>
    <x v="1021"/>
    <x v="3"/>
    <x v="0"/>
    <x v="12"/>
    <n v="23.02"/>
    <x v="2"/>
  </r>
  <r>
    <x v="142"/>
    <s v="July"/>
    <x v="5"/>
    <x v="1022"/>
    <x v="0"/>
    <x v="0"/>
    <x v="97"/>
    <n v="27.92"/>
    <x v="3"/>
  </r>
  <r>
    <x v="142"/>
    <s v="July"/>
    <x v="5"/>
    <x v="1023"/>
    <x v="0"/>
    <x v="0"/>
    <x v="385"/>
    <n v="27.92"/>
    <x v="3"/>
  </r>
  <r>
    <x v="142"/>
    <s v="July"/>
    <x v="5"/>
    <x v="1024"/>
    <x v="0"/>
    <x v="0"/>
    <x v="402"/>
    <n v="18.12"/>
    <x v="6"/>
  </r>
  <r>
    <x v="142"/>
    <s v="July"/>
    <x v="5"/>
    <x v="1025"/>
    <x v="0"/>
    <x v="0"/>
    <x v="379"/>
    <n v="32.82"/>
    <x v="7"/>
  </r>
  <r>
    <x v="142"/>
    <s v="July"/>
    <x v="5"/>
    <x v="1026"/>
    <x v="1"/>
    <x v="0"/>
    <x v="399"/>
    <n v="32.82"/>
    <x v="0"/>
  </r>
  <r>
    <x v="142"/>
    <s v="July"/>
    <x v="5"/>
    <x v="1027"/>
    <x v="1"/>
    <x v="0"/>
    <x v="12"/>
    <n v="18.12"/>
    <x v="6"/>
  </r>
  <r>
    <x v="142"/>
    <s v="July"/>
    <x v="5"/>
    <x v="1028"/>
    <x v="1"/>
    <x v="0"/>
    <x v="8"/>
    <n v="32.82"/>
    <x v="0"/>
  </r>
  <r>
    <x v="142"/>
    <s v="July"/>
    <x v="5"/>
    <x v="1029"/>
    <x v="2"/>
    <x v="0"/>
    <x v="205"/>
    <n v="32.82"/>
    <x v="7"/>
  </r>
  <r>
    <x v="142"/>
    <s v="July"/>
    <x v="5"/>
    <x v="1030"/>
    <x v="2"/>
    <x v="0"/>
    <x v="205"/>
    <n v="32.82"/>
    <x v="7"/>
  </r>
  <r>
    <x v="142"/>
    <s v="July"/>
    <x v="5"/>
    <x v="1031"/>
    <x v="3"/>
    <x v="0"/>
    <x v="40"/>
    <n v="27.92"/>
    <x v="3"/>
  </r>
  <r>
    <x v="142"/>
    <s v="July"/>
    <x v="5"/>
    <x v="1032"/>
    <x v="3"/>
    <x v="0"/>
    <x v="40"/>
    <n v="23.02"/>
    <x v="2"/>
  </r>
  <r>
    <x v="142"/>
    <s v="July"/>
    <x v="5"/>
    <x v="1033"/>
    <x v="3"/>
    <x v="0"/>
    <x v="12"/>
    <n v="23.02"/>
    <x v="2"/>
  </r>
  <r>
    <x v="143"/>
    <s v="July"/>
    <x v="6"/>
    <x v="1034"/>
    <x v="0"/>
    <x v="0"/>
    <x v="12"/>
    <n v="23.02"/>
    <x v="2"/>
  </r>
  <r>
    <x v="143"/>
    <s v="July"/>
    <x v="6"/>
    <x v="1035"/>
    <x v="0"/>
    <x v="0"/>
    <x v="399"/>
    <n v="32.82"/>
    <x v="0"/>
  </r>
  <r>
    <x v="143"/>
    <s v="July"/>
    <x v="6"/>
    <x v="1036"/>
    <x v="0"/>
    <x v="0"/>
    <x v="385"/>
    <n v="27.92"/>
    <x v="3"/>
  </r>
  <r>
    <x v="143"/>
    <s v="July"/>
    <x v="6"/>
    <x v="1037"/>
    <x v="0"/>
    <x v="0"/>
    <x v="375"/>
    <n v="23.02"/>
    <x v="2"/>
  </r>
  <r>
    <x v="143"/>
    <s v="July"/>
    <x v="6"/>
    <x v="1038"/>
    <x v="1"/>
    <x v="0"/>
    <x v="403"/>
    <n v="32.82"/>
    <x v="7"/>
  </r>
  <r>
    <x v="143"/>
    <s v="July"/>
    <x v="6"/>
    <x v="1039"/>
    <x v="2"/>
    <x v="0"/>
    <x v="257"/>
    <n v="32.82"/>
    <x v="7"/>
  </r>
  <r>
    <x v="143"/>
    <s v="July"/>
    <x v="6"/>
    <x v="1040"/>
    <x v="3"/>
    <x v="0"/>
    <x v="404"/>
    <n v="23.02"/>
    <x v="5"/>
  </r>
  <r>
    <x v="143"/>
    <s v="July"/>
    <x v="6"/>
    <x v="1041"/>
    <x v="3"/>
    <x v="0"/>
    <x v="404"/>
    <n v="18.12"/>
    <x v="6"/>
  </r>
  <r>
    <x v="143"/>
    <s v="July"/>
    <x v="6"/>
    <x v="1042"/>
    <x v="3"/>
    <x v="0"/>
    <x v="328"/>
    <n v="23.02"/>
    <x v="5"/>
  </r>
  <r>
    <x v="143"/>
    <s v="July"/>
    <x v="6"/>
    <x v="1043"/>
    <x v="3"/>
    <x v="0"/>
    <x v="405"/>
    <n v="32.82"/>
    <x v="4"/>
  </r>
  <r>
    <x v="144"/>
    <s v="July"/>
    <x v="0"/>
    <x v="1044"/>
    <x v="0"/>
    <x v="0"/>
    <x v="406"/>
    <n v="32.82"/>
    <x v="0"/>
  </r>
  <r>
    <x v="144"/>
    <s v="July"/>
    <x v="0"/>
    <x v="1045"/>
    <x v="0"/>
    <x v="0"/>
    <x v="97"/>
    <n v="27.92"/>
    <x v="3"/>
  </r>
  <r>
    <x v="144"/>
    <s v="July"/>
    <x v="0"/>
    <x v="1046"/>
    <x v="0"/>
    <x v="0"/>
    <x v="59"/>
    <n v="18.12"/>
    <x v="6"/>
  </r>
  <r>
    <x v="144"/>
    <s v="July"/>
    <x v="0"/>
    <x v="1047"/>
    <x v="0"/>
    <x v="0"/>
    <x v="407"/>
    <n v="23.02"/>
    <x v="5"/>
  </r>
  <r>
    <x v="144"/>
    <s v="July"/>
    <x v="0"/>
    <x v="1048"/>
    <x v="0"/>
    <x v="0"/>
    <x v="407"/>
    <n v="23.02"/>
    <x v="5"/>
  </r>
  <r>
    <x v="144"/>
    <s v="July"/>
    <x v="0"/>
    <x v="1049"/>
    <x v="0"/>
    <x v="0"/>
    <x v="408"/>
    <n v="32.82"/>
    <x v="0"/>
  </r>
  <r>
    <x v="144"/>
    <s v="July"/>
    <x v="0"/>
    <x v="1050"/>
    <x v="0"/>
    <x v="0"/>
    <x v="408"/>
    <n v="32.82"/>
    <x v="0"/>
  </r>
  <r>
    <x v="144"/>
    <s v="July"/>
    <x v="0"/>
    <x v="1051"/>
    <x v="0"/>
    <x v="0"/>
    <x v="385"/>
    <n v="27.92"/>
    <x v="3"/>
  </r>
  <r>
    <x v="144"/>
    <s v="July"/>
    <x v="0"/>
    <x v="1052"/>
    <x v="1"/>
    <x v="0"/>
    <x v="379"/>
    <n v="27.92"/>
    <x v="3"/>
  </r>
  <r>
    <x v="144"/>
    <s v="July"/>
    <x v="0"/>
    <x v="1053"/>
    <x v="1"/>
    <x v="0"/>
    <x v="339"/>
    <n v="32.82"/>
    <x v="7"/>
  </r>
  <r>
    <x v="144"/>
    <s v="July"/>
    <x v="0"/>
    <x v="1054"/>
    <x v="1"/>
    <x v="0"/>
    <x v="339"/>
    <n v="32.82"/>
    <x v="7"/>
  </r>
  <r>
    <x v="144"/>
    <s v="July"/>
    <x v="0"/>
    <x v="1055"/>
    <x v="1"/>
    <x v="0"/>
    <x v="409"/>
    <n v="32.82"/>
    <x v="0"/>
  </r>
  <r>
    <x v="144"/>
    <s v="July"/>
    <x v="0"/>
    <x v="1056"/>
    <x v="2"/>
    <x v="0"/>
    <x v="410"/>
    <n v="23.02"/>
    <x v="2"/>
  </r>
  <r>
    <x v="144"/>
    <s v="July"/>
    <x v="0"/>
    <x v="1057"/>
    <x v="2"/>
    <x v="0"/>
    <x v="411"/>
    <n v="32.82"/>
    <x v="7"/>
  </r>
  <r>
    <x v="144"/>
    <s v="July"/>
    <x v="0"/>
    <x v="1058"/>
    <x v="3"/>
    <x v="0"/>
    <x v="8"/>
    <n v="32.82"/>
    <x v="0"/>
  </r>
  <r>
    <x v="144"/>
    <s v="July"/>
    <x v="0"/>
    <x v="1059"/>
    <x v="3"/>
    <x v="0"/>
    <x v="412"/>
    <n v="27.92"/>
    <x v="3"/>
  </r>
  <r>
    <x v="145"/>
    <s v="July"/>
    <x v="1"/>
    <x v="1060"/>
    <x v="0"/>
    <x v="0"/>
    <x v="97"/>
    <n v="32.82"/>
    <x v="7"/>
  </r>
  <r>
    <x v="145"/>
    <s v="July"/>
    <x v="1"/>
    <x v="1061"/>
    <x v="0"/>
    <x v="0"/>
    <x v="413"/>
    <n v="27.92"/>
    <x v="3"/>
  </r>
  <r>
    <x v="145"/>
    <s v="July"/>
    <x v="1"/>
    <x v="1062"/>
    <x v="1"/>
    <x v="0"/>
    <x v="59"/>
    <n v="27.92"/>
    <x v="3"/>
  </r>
  <r>
    <x v="145"/>
    <s v="July"/>
    <x v="1"/>
    <x v="1063"/>
    <x v="1"/>
    <x v="0"/>
    <x v="40"/>
    <n v="18.12"/>
    <x v="6"/>
  </r>
  <r>
    <x v="145"/>
    <s v="July"/>
    <x v="1"/>
    <x v="1064"/>
    <x v="1"/>
    <x v="0"/>
    <x v="59"/>
    <n v="27.92"/>
    <x v="3"/>
  </r>
  <r>
    <x v="145"/>
    <s v="July"/>
    <x v="1"/>
    <x v="1065"/>
    <x v="1"/>
    <x v="0"/>
    <x v="225"/>
    <n v="18.12"/>
    <x v="6"/>
  </r>
  <r>
    <x v="145"/>
    <s v="July"/>
    <x v="1"/>
    <x v="1066"/>
    <x v="1"/>
    <x v="0"/>
    <x v="77"/>
    <n v="32.82"/>
    <x v="0"/>
  </r>
  <r>
    <x v="145"/>
    <s v="July"/>
    <x v="1"/>
    <x v="1067"/>
    <x v="2"/>
    <x v="0"/>
    <x v="414"/>
    <n v="32.82"/>
    <x v="7"/>
  </r>
  <r>
    <x v="145"/>
    <s v="July"/>
    <x v="1"/>
    <x v="1068"/>
    <x v="2"/>
    <x v="0"/>
    <x v="415"/>
    <n v="32.82"/>
    <x v="7"/>
  </r>
  <r>
    <x v="145"/>
    <s v="July"/>
    <x v="1"/>
    <x v="1069"/>
    <x v="2"/>
    <x v="0"/>
    <x v="416"/>
    <n v="27.92"/>
    <x v="3"/>
  </r>
  <r>
    <x v="145"/>
    <s v="July"/>
    <x v="1"/>
    <x v="1070"/>
    <x v="2"/>
    <x v="0"/>
    <x v="416"/>
    <n v="27.92"/>
    <x v="3"/>
  </r>
  <r>
    <x v="145"/>
    <s v="July"/>
    <x v="1"/>
    <x v="1071"/>
    <x v="3"/>
    <x v="0"/>
    <x v="8"/>
    <n v="32.82"/>
    <x v="0"/>
  </r>
  <r>
    <x v="145"/>
    <s v="July"/>
    <x v="1"/>
    <x v="1072"/>
    <x v="3"/>
    <x v="0"/>
    <x v="417"/>
    <n v="32.82"/>
    <x v="7"/>
  </r>
  <r>
    <x v="146"/>
    <s v="July"/>
    <x v="2"/>
    <x v="1073"/>
    <x v="0"/>
    <x v="0"/>
    <x v="12"/>
    <n v="18.12"/>
    <x v="6"/>
  </r>
  <r>
    <x v="146"/>
    <s v="July"/>
    <x v="2"/>
    <x v="1074"/>
    <x v="1"/>
    <x v="0"/>
    <x v="276"/>
    <n v="27.92"/>
    <x v="3"/>
  </r>
  <r>
    <x v="146"/>
    <s v="July"/>
    <x v="2"/>
    <x v="1075"/>
    <x v="1"/>
    <x v="0"/>
    <x v="276"/>
    <n v="32.82"/>
    <x v="0"/>
  </r>
  <r>
    <x v="147"/>
    <s v="July"/>
    <x v="3"/>
    <x v="1076"/>
    <x v="0"/>
    <x v="0"/>
    <x v="418"/>
    <n v="32.82"/>
    <x v="0"/>
  </r>
  <r>
    <x v="147"/>
    <s v="July"/>
    <x v="3"/>
    <x v="1077"/>
    <x v="0"/>
    <x v="0"/>
    <x v="12"/>
    <n v="23.02"/>
    <x v="2"/>
  </r>
  <r>
    <x v="147"/>
    <s v="July"/>
    <x v="3"/>
    <x v="1078"/>
    <x v="0"/>
    <x v="0"/>
    <x v="97"/>
    <n v="27.92"/>
    <x v="3"/>
  </r>
  <r>
    <x v="147"/>
    <s v="July"/>
    <x v="3"/>
    <x v="1079"/>
    <x v="0"/>
    <x v="0"/>
    <x v="2"/>
    <n v="23.02"/>
    <x v="2"/>
  </r>
  <r>
    <x v="147"/>
    <s v="July"/>
    <x v="3"/>
    <x v="1080"/>
    <x v="0"/>
    <x v="0"/>
    <x v="419"/>
    <n v="27.92"/>
    <x v="3"/>
  </r>
  <r>
    <x v="147"/>
    <s v="July"/>
    <x v="3"/>
    <x v="1081"/>
    <x v="0"/>
    <x v="0"/>
    <x v="420"/>
    <n v="32.82"/>
    <x v="7"/>
  </r>
  <r>
    <x v="147"/>
    <s v="July"/>
    <x v="3"/>
    <x v="1082"/>
    <x v="0"/>
    <x v="0"/>
    <x v="421"/>
    <n v="32.82"/>
    <x v="1"/>
  </r>
  <r>
    <x v="147"/>
    <s v="July"/>
    <x v="3"/>
    <x v="1083"/>
    <x v="0"/>
    <x v="0"/>
    <x v="421"/>
    <n v="32.82"/>
    <x v="1"/>
  </r>
  <r>
    <x v="147"/>
    <s v="July"/>
    <x v="3"/>
    <x v="1084"/>
    <x v="2"/>
    <x v="0"/>
    <x v="422"/>
    <n v="32.82"/>
    <x v="7"/>
  </r>
  <r>
    <x v="147"/>
    <s v="July"/>
    <x v="3"/>
    <x v="1085"/>
    <x v="2"/>
    <x v="0"/>
    <x v="99"/>
    <n v="23.02"/>
    <x v="2"/>
  </r>
  <r>
    <x v="147"/>
    <s v="July"/>
    <x v="3"/>
    <x v="1086"/>
    <x v="3"/>
    <x v="0"/>
    <x v="328"/>
    <n v="32.82"/>
    <x v="4"/>
  </r>
  <r>
    <x v="148"/>
    <s v="July"/>
    <x v="4"/>
    <x v="1087"/>
    <x v="0"/>
    <x v="0"/>
    <x v="423"/>
    <n v="27.92"/>
    <x v="3"/>
  </r>
  <r>
    <x v="148"/>
    <s v="July"/>
    <x v="4"/>
    <x v="1088"/>
    <x v="0"/>
    <x v="0"/>
    <x v="424"/>
    <n v="23.02"/>
    <x v="5"/>
  </r>
  <r>
    <x v="148"/>
    <s v="July"/>
    <x v="4"/>
    <x v="1089"/>
    <x v="0"/>
    <x v="0"/>
    <x v="425"/>
    <n v="32.82"/>
    <x v="7"/>
  </r>
  <r>
    <x v="148"/>
    <s v="July"/>
    <x v="4"/>
    <x v="1090"/>
    <x v="0"/>
    <x v="0"/>
    <x v="97"/>
    <n v="27.92"/>
    <x v="3"/>
  </r>
  <r>
    <x v="148"/>
    <s v="July"/>
    <x v="4"/>
    <x v="1091"/>
    <x v="0"/>
    <x v="0"/>
    <x v="141"/>
    <n v="23.02"/>
    <x v="5"/>
  </r>
  <r>
    <x v="148"/>
    <s v="July"/>
    <x v="4"/>
    <x v="1092"/>
    <x v="0"/>
    <x v="0"/>
    <x v="276"/>
    <n v="27.92"/>
    <x v="3"/>
  </r>
  <r>
    <x v="148"/>
    <s v="July"/>
    <x v="4"/>
    <x v="1093"/>
    <x v="0"/>
    <x v="0"/>
    <x v="250"/>
    <n v="32.82"/>
    <x v="0"/>
  </r>
  <r>
    <x v="148"/>
    <s v="July"/>
    <x v="4"/>
    <x v="1094"/>
    <x v="0"/>
    <x v="0"/>
    <x v="426"/>
    <n v="23.02"/>
    <x v="2"/>
  </r>
  <r>
    <x v="148"/>
    <s v="July"/>
    <x v="4"/>
    <x v="1095"/>
    <x v="0"/>
    <x v="0"/>
    <x v="426"/>
    <n v="18.12"/>
    <x v="6"/>
  </r>
  <r>
    <x v="148"/>
    <s v="July"/>
    <x v="4"/>
    <x v="1096"/>
    <x v="0"/>
    <x v="0"/>
    <x v="427"/>
    <n v="27.92"/>
    <x v="3"/>
  </r>
  <r>
    <x v="148"/>
    <s v="July"/>
    <x v="4"/>
    <x v="1097"/>
    <x v="0"/>
    <x v="0"/>
    <x v="428"/>
    <n v="27.92"/>
    <x v="3"/>
  </r>
  <r>
    <x v="148"/>
    <s v="July"/>
    <x v="4"/>
    <x v="1098"/>
    <x v="0"/>
    <x v="0"/>
    <x v="429"/>
    <n v="27.92"/>
    <x v="3"/>
  </r>
  <r>
    <x v="148"/>
    <s v="July"/>
    <x v="4"/>
    <x v="1099"/>
    <x v="0"/>
    <x v="0"/>
    <x v="430"/>
    <n v="27.92"/>
    <x v="3"/>
  </r>
  <r>
    <x v="148"/>
    <s v="July"/>
    <x v="4"/>
    <x v="1100"/>
    <x v="1"/>
    <x v="0"/>
    <x v="431"/>
    <n v="32.82"/>
    <x v="0"/>
  </r>
  <r>
    <x v="148"/>
    <s v="July"/>
    <x v="4"/>
    <x v="1101"/>
    <x v="1"/>
    <x v="0"/>
    <x v="432"/>
    <n v="27.92"/>
    <x v="3"/>
  </r>
  <r>
    <x v="148"/>
    <s v="July"/>
    <x v="4"/>
    <x v="1102"/>
    <x v="2"/>
    <x v="0"/>
    <x v="433"/>
    <n v="23.02"/>
    <x v="5"/>
  </r>
  <r>
    <x v="148"/>
    <s v="July"/>
    <x v="4"/>
    <x v="1103"/>
    <x v="2"/>
    <x v="0"/>
    <x v="433"/>
    <n v="27.92"/>
    <x v="3"/>
  </r>
  <r>
    <x v="148"/>
    <s v="July"/>
    <x v="4"/>
    <x v="1104"/>
    <x v="3"/>
    <x v="0"/>
    <x v="434"/>
    <n v="18.12"/>
    <x v="6"/>
  </r>
  <r>
    <x v="148"/>
    <s v="July"/>
    <x v="4"/>
    <x v="1105"/>
    <x v="3"/>
    <x v="0"/>
    <x v="97"/>
    <n v="27.92"/>
    <x v="3"/>
  </r>
  <r>
    <x v="148"/>
    <s v="July"/>
    <x v="4"/>
    <x v="1106"/>
    <x v="3"/>
    <x v="0"/>
    <x v="97"/>
    <n v="27.92"/>
    <x v="3"/>
  </r>
  <r>
    <x v="148"/>
    <s v="July"/>
    <x v="4"/>
    <x v="1107"/>
    <x v="3"/>
    <x v="0"/>
    <x v="347"/>
    <n v="27.92"/>
    <x v="3"/>
  </r>
  <r>
    <x v="148"/>
    <s v="July"/>
    <x v="4"/>
    <x v="1108"/>
    <x v="3"/>
    <x v="0"/>
    <x v="435"/>
    <n v="32.82"/>
    <x v="0"/>
  </r>
  <r>
    <x v="148"/>
    <s v="July"/>
    <x v="4"/>
    <x v="1109"/>
    <x v="3"/>
    <x v="0"/>
    <x v="436"/>
    <n v="23.02"/>
    <x v="2"/>
  </r>
  <r>
    <x v="148"/>
    <s v="July"/>
    <x v="4"/>
    <x v="1110"/>
    <x v="3"/>
    <x v="0"/>
    <x v="436"/>
    <n v="32.82"/>
    <x v="7"/>
  </r>
  <r>
    <x v="149"/>
    <s v="July"/>
    <x v="5"/>
    <x v="1111"/>
    <x v="0"/>
    <x v="0"/>
    <x v="423"/>
    <n v="27.92"/>
    <x v="3"/>
  </r>
  <r>
    <x v="149"/>
    <s v="July"/>
    <x v="5"/>
    <x v="1112"/>
    <x v="0"/>
    <x v="0"/>
    <x v="437"/>
    <n v="27.92"/>
    <x v="3"/>
  </r>
  <r>
    <x v="149"/>
    <s v="July"/>
    <x v="5"/>
    <x v="1113"/>
    <x v="0"/>
    <x v="0"/>
    <x v="437"/>
    <n v="27.92"/>
    <x v="3"/>
  </r>
  <r>
    <x v="149"/>
    <s v="July"/>
    <x v="5"/>
    <x v="1114"/>
    <x v="0"/>
    <x v="0"/>
    <x v="388"/>
    <n v="23.02"/>
    <x v="2"/>
  </r>
  <r>
    <x v="149"/>
    <s v="July"/>
    <x v="5"/>
    <x v="1115"/>
    <x v="0"/>
    <x v="0"/>
    <x v="388"/>
    <n v="23.02"/>
    <x v="2"/>
  </r>
  <r>
    <x v="149"/>
    <s v="July"/>
    <x v="5"/>
    <x v="1116"/>
    <x v="0"/>
    <x v="0"/>
    <x v="276"/>
    <n v="27.92"/>
    <x v="3"/>
  </r>
  <r>
    <x v="149"/>
    <s v="July"/>
    <x v="5"/>
    <x v="1117"/>
    <x v="1"/>
    <x v="0"/>
    <x v="384"/>
    <n v="32.82"/>
    <x v="4"/>
  </r>
  <r>
    <x v="149"/>
    <s v="July"/>
    <x v="5"/>
    <x v="1118"/>
    <x v="1"/>
    <x v="0"/>
    <x v="384"/>
    <n v="32.82"/>
    <x v="0"/>
  </r>
  <r>
    <x v="149"/>
    <s v="July"/>
    <x v="5"/>
    <x v="1119"/>
    <x v="1"/>
    <x v="0"/>
    <x v="438"/>
    <n v="27.92"/>
    <x v="3"/>
  </r>
  <r>
    <x v="149"/>
    <s v="July"/>
    <x v="5"/>
    <x v="1120"/>
    <x v="2"/>
    <x v="0"/>
    <x v="439"/>
    <n v="23.02"/>
    <x v="5"/>
  </r>
  <r>
    <x v="149"/>
    <s v="July"/>
    <x v="5"/>
    <x v="1121"/>
    <x v="2"/>
    <x v="0"/>
    <x v="440"/>
    <n v="32.82"/>
    <x v="0"/>
  </r>
  <r>
    <x v="149"/>
    <s v="July"/>
    <x v="5"/>
    <x v="1122"/>
    <x v="2"/>
    <x v="0"/>
    <x v="441"/>
    <n v="23.02"/>
    <x v="5"/>
  </r>
  <r>
    <x v="149"/>
    <s v="July"/>
    <x v="5"/>
    <x v="1123"/>
    <x v="2"/>
    <x v="0"/>
    <x v="8"/>
    <n v="32.82"/>
    <x v="0"/>
  </r>
  <r>
    <x v="149"/>
    <s v="July"/>
    <x v="5"/>
    <x v="1124"/>
    <x v="3"/>
    <x v="0"/>
    <x v="442"/>
    <n v="32.82"/>
    <x v="4"/>
  </r>
  <r>
    <x v="149"/>
    <s v="July"/>
    <x v="5"/>
    <x v="1125"/>
    <x v="3"/>
    <x v="0"/>
    <x v="443"/>
    <n v="23.02"/>
    <x v="5"/>
  </r>
  <r>
    <x v="149"/>
    <s v="July"/>
    <x v="5"/>
    <x v="1126"/>
    <x v="3"/>
    <x v="0"/>
    <x v="443"/>
    <n v="32.82"/>
    <x v="0"/>
  </r>
  <r>
    <x v="149"/>
    <s v="July"/>
    <x v="5"/>
    <x v="1127"/>
    <x v="3"/>
    <x v="0"/>
    <x v="153"/>
    <n v="32.82"/>
    <x v="7"/>
  </r>
  <r>
    <x v="149"/>
    <s v="July"/>
    <x v="5"/>
    <x v="1128"/>
    <x v="3"/>
    <x v="0"/>
    <x v="443"/>
    <n v="23.02"/>
    <x v="5"/>
  </r>
  <r>
    <x v="149"/>
    <s v="July"/>
    <x v="5"/>
    <x v="1129"/>
    <x v="3"/>
    <x v="0"/>
    <x v="40"/>
    <n v="27.92"/>
    <x v="3"/>
  </r>
  <r>
    <x v="149"/>
    <s v="July"/>
    <x v="5"/>
    <x v="1130"/>
    <x v="3"/>
    <x v="0"/>
    <x v="444"/>
    <n v="32.82"/>
    <x v="0"/>
  </r>
  <r>
    <x v="149"/>
    <s v="July"/>
    <x v="5"/>
    <x v="1131"/>
    <x v="3"/>
    <x v="0"/>
    <x v="445"/>
    <n v="32.82"/>
    <x v="0"/>
  </r>
  <r>
    <x v="149"/>
    <s v="July"/>
    <x v="5"/>
    <x v="1132"/>
    <x v="3"/>
    <x v="0"/>
    <x v="446"/>
    <n v="32.8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DAC28-CD14-44C2-8AED-24252186AA1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Y8:AA159" firstHeaderRow="0" firstDataRow="1" firstDataCol="1"/>
  <pivotFields count="14">
    <pivotField axis="axisRow"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1"/>
    <field x="0"/>
  </rowFields>
  <rowItems count="15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3"/>
    </i>
    <i>
      <x v="124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11" subtotal="count" baseField="0" baseItem="0"/>
    <dataField name="% column" fld="11" subtotal="count" showDataAs="percentOfCol" baseField="10" baseItem="6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685A1-B628-4B22-81EF-D07AD3DB19C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U8:W16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dataField="1" showAll="0" sortType="descending">
      <items count="8">
        <item x="2"/>
        <item x="3"/>
        <item x="4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8">
    <i>
      <x v="2"/>
    </i>
    <i>
      <x v="3"/>
    </i>
    <i>
      <x v="4"/>
    </i>
    <i>
      <x v="5"/>
    </i>
    <i>
      <x v="6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2" subtotal="count" baseField="0" baseItem="0"/>
    <dataField name="% of Column" fld="2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E4FC1-98F1-4F34-AA01-8F6FA2250FF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Q8:S14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dataField="1"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0"/>
  </rowFields>
  <rowItems count="6">
    <i>
      <x v="5"/>
    </i>
    <i>
      <x v="7"/>
    </i>
    <i>
      <x v="6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3" subtotal="count" baseField="0" baseItem="0"/>
    <dataField name="% of Column " fld="3" subtotal="count" showDataAs="percentOfCol" baseField="9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E5673-7829-44C4-84CC-5A4C2E63AE4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M8:O13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axis="axisRow" dataField="1" showAll="0" sortType="ascending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sd="0" x="4"/>
        <item sd="0" x="5"/>
        <item sd="0" x="6"/>
        <item sd="0" x="7"/>
        <item t="default"/>
      </items>
    </pivotField>
  </pivotFields>
  <rowFields count="2">
    <field x="13"/>
    <field x="4"/>
  </rowFields>
  <rowItems count="5"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4" subtotal="count" baseField="3" baseItem="0"/>
    <dataField name="% of Column" fld="4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6006D-BDEF-45B0-A6A7-1D6E23A6A2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8:C17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showAll="0"/>
    <pivotField axis="axisRow" dataField="1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9">
    <i>
      <x v="1"/>
    </i>
    <i>
      <x v="7"/>
    </i>
    <i>
      <x v="2"/>
    </i>
    <i>
      <x/>
    </i>
    <i>
      <x v="4"/>
    </i>
    <i>
      <x v="6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8" subtotal="count" baseField="0" baseItem="0"/>
    <dataField name="% of Column" fld="8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D071D-ED5F-407B-A171-ADAA70AE79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I8:K11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5" subtotal="count" baseField="0" baseItem="0"/>
    <dataField name="% of Column" fld="5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BFA76-840C-440C-8183-C89CF31882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8:G456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axis="axisRow" dataField="1" showAll="0" sortType="descending">
      <items count="44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448">
    <i>
      <x v="446"/>
    </i>
    <i>
      <x v="11"/>
    </i>
    <i>
      <x v="8"/>
    </i>
    <i>
      <x v="96"/>
    </i>
    <i>
      <x v="2"/>
    </i>
    <i>
      <x v="39"/>
    </i>
    <i>
      <x v="140"/>
    </i>
    <i>
      <x/>
    </i>
    <i>
      <x v="179"/>
    </i>
    <i>
      <x v="23"/>
    </i>
    <i>
      <x v="58"/>
    </i>
    <i>
      <x v="133"/>
    </i>
    <i>
      <x v="205"/>
    </i>
    <i>
      <x v="3"/>
    </i>
    <i>
      <x v="275"/>
    </i>
    <i>
      <x v="153"/>
    </i>
    <i>
      <x v="141"/>
    </i>
    <i>
      <x v="191"/>
    </i>
    <i>
      <x v="152"/>
    </i>
    <i>
      <x v="18"/>
    </i>
    <i>
      <x v="383"/>
    </i>
    <i>
      <x v="163"/>
    </i>
    <i>
      <x v="49"/>
    </i>
    <i>
      <x v="117"/>
    </i>
    <i>
      <x v="374"/>
    </i>
    <i>
      <x v="16"/>
    </i>
    <i>
      <x v="299"/>
    </i>
    <i>
      <x v="68"/>
    </i>
    <i>
      <x v="147"/>
    </i>
    <i>
      <x v="202"/>
    </i>
    <i>
      <x v="384"/>
    </i>
    <i>
      <x v="32"/>
    </i>
    <i>
      <x v="76"/>
    </i>
    <i>
      <x v="142"/>
    </i>
    <i>
      <x v="193"/>
    </i>
    <i>
      <x v="155"/>
    </i>
    <i>
      <x v="327"/>
    </i>
    <i>
      <x v="303"/>
    </i>
    <i>
      <x v="48"/>
    </i>
    <i>
      <x v="269"/>
    </i>
    <i>
      <x v="54"/>
    </i>
    <i>
      <x v="302"/>
    </i>
    <i>
      <x v="219"/>
    </i>
    <i>
      <x v="310"/>
    </i>
    <i>
      <x v="98"/>
    </i>
    <i>
      <x v="249"/>
    </i>
    <i>
      <x v="24"/>
    </i>
    <i>
      <x v="366"/>
    </i>
    <i>
      <x v="256"/>
    </i>
    <i>
      <x v="63"/>
    </i>
    <i>
      <x v="266"/>
    </i>
    <i>
      <x v="338"/>
    </i>
    <i>
      <x v="217"/>
    </i>
    <i>
      <x v="119"/>
    </i>
    <i>
      <x v="273"/>
    </i>
    <i>
      <x v="386"/>
    </i>
    <i>
      <x v="387"/>
    </i>
    <i>
      <x v="332"/>
    </i>
    <i>
      <x v="398"/>
    </i>
    <i>
      <x v="364"/>
    </i>
    <i>
      <x v="298"/>
    </i>
    <i>
      <x v="372"/>
    </i>
    <i>
      <x v="90"/>
    </i>
    <i>
      <x v="378"/>
    </i>
    <i>
      <x v="204"/>
    </i>
    <i>
      <x v="185"/>
    </i>
    <i>
      <x v="224"/>
    </i>
    <i>
      <x v="259"/>
    </i>
    <i>
      <x v="19"/>
    </i>
    <i>
      <x v="282"/>
    </i>
    <i>
      <x v="442"/>
    </i>
    <i>
      <x v="190"/>
    </i>
    <i>
      <x v="223"/>
    </i>
    <i>
      <x v="307"/>
    </i>
    <i>
      <x v="231"/>
    </i>
    <i>
      <x v="382"/>
    </i>
    <i>
      <x v="75"/>
    </i>
    <i>
      <x v="73"/>
    </i>
    <i>
      <x v="80"/>
    </i>
    <i>
      <x v="60"/>
    </i>
    <i>
      <x v="84"/>
    </i>
    <i>
      <x v="420"/>
    </i>
    <i>
      <x v="87"/>
    </i>
    <i>
      <x v="250"/>
    </i>
    <i>
      <x v="7"/>
    </i>
    <i>
      <x v="52"/>
    </i>
    <i>
      <x v="97"/>
    </i>
    <i>
      <x v="319"/>
    </i>
    <i>
      <x v="99"/>
    </i>
    <i>
      <x v="352"/>
    </i>
    <i>
      <x v="100"/>
    </i>
    <i>
      <x v="403"/>
    </i>
    <i>
      <x v="105"/>
    </i>
    <i>
      <x v="435"/>
    </i>
    <i>
      <x v="109"/>
    </i>
    <i>
      <x v="240"/>
    </i>
    <i>
      <x v="110"/>
    </i>
    <i>
      <x v="255"/>
    </i>
    <i>
      <x v="114"/>
    </i>
    <i>
      <x v="50"/>
    </i>
    <i>
      <x v="1"/>
    </i>
    <i>
      <x v="286"/>
    </i>
    <i>
      <x v="121"/>
    </i>
    <i>
      <x v="312"/>
    </i>
    <i>
      <x v="122"/>
    </i>
    <i>
      <x v="333"/>
    </i>
    <i>
      <x v="123"/>
    </i>
    <i>
      <x v="349"/>
    </i>
    <i>
      <x v="124"/>
    </i>
    <i>
      <x v="354"/>
    </i>
    <i>
      <x v="126"/>
    </i>
    <i>
      <x v="394"/>
    </i>
    <i>
      <x v="129"/>
    </i>
    <i>
      <x v="407"/>
    </i>
    <i>
      <x v="132"/>
    </i>
    <i>
      <x v="425"/>
    </i>
    <i>
      <x v="139"/>
    </i>
    <i>
      <x v="230"/>
    </i>
    <i>
      <x v="25"/>
    </i>
    <i>
      <x v="237"/>
    </i>
    <i>
      <x v="27"/>
    </i>
    <i>
      <x v="45"/>
    </i>
    <i>
      <x v="144"/>
    </i>
    <i>
      <x v="253"/>
    </i>
    <i>
      <x v="28"/>
    </i>
    <i>
      <x v="46"/>
    </i>
    <i>
      <x v="148"/>
    </i>
    <i>
      <x v="260"/>
    </i>
    <i>
      <x v="150"/>
    </i>
    <i>
      <x v="281"/>
    </i>
    <i>
      <x v="31"/>
    </i>
    <i>
      <x v="284"/>
    </i>
    <i>
      <x v="157"/>
    </i>
    <i>
      <x v="294"/>
    </i>
    <i>
      <x v="164"/>
    </i>
    <i>
      <x v="57"/>
    </i>
    <i>
      <x v="165"/>
    </i>
    <i>
      <x v="313"/>
    </i>
    <i>
      <x v="171"/>
    </i>
    <i>
      <x v="328"/>
    </i>
    <i>
      <x v="174"/>
    </i>
    <i>
      <x v="334"/>
    </i>
    <i>
      <x v="176"/>
    </i>
    <i>
      <x v="346"/>
    </i>
    <i>
      <x v="177"/>
    </i>
    <i>
      <x v="350"/>
    </i>
    <i>
      <x v="178"/>
    </i>
    <i>
      <x v="353"/>
    </i>
    <i>
      <x v="181"/>
    </i>
    <i>
      <x v="64"/>
    </i>
    <i>
      <x v="34"/>
    </i>
    <i>
      <x v="385"/>
    </i>
    <i>
      <x v="196"/>
    </i>
    <i>
      <x v="400"/>
    </i>
    <i>
      <x v="206"/>
    </i>
    <i>
      <x v="406"/>
    </i>
    <i>
      <x v="208"/>
    </i>
    <i>
      <x v="415"/>
    </i>
    <i>
      <x v="211"/>
    </i>
    <i>
      <x v="422"/>
    </i>
    <i>
      <x v="41"/>
    </i>
    <i>
      <x v="432"/>
    </i>
    <i>
      <x v="42"/>
    </i>
    <i>
      <x v="436"/>
    </i>
    <i>
      <x v="220"/>
    </i>
    <i>
      <x v="47"/>
    </i>
    <i>
      <x v="421"/>
    </i>
    <i>
      <x v="357"/>
    </i>
    <i>
      <x v="325"/>
    </i>
    <i>
      <x v="167"/>
    </i>
    <i>
      <x v="389"/>
    </i>
    <i>
      <x v="168"/>
    </i>
    <i>
      <x v="309"/>
    </i>
    <i>
      <x v="169"/>
    </i>
    <i>
      <x v="341"/>
    </i>
    <i>
      <x v="170"/>
    </i>
    <i>
      <x v="373"/>
    </i>
    <i>
      <x v="82"/>
    </i>
    <i>
      <x v="405"/>
    </i>
    <i>
      <x v="172"/>
    </i>
    <i>
      <x v="437"/>
    </i>
    <i>
      <x v="173"/>
    </i>
    <i>
      <x v="317"/>
    </i>
    <i>
      <x v="106"/>
    </i>
    <i>
      <x v="20"/>
    </i>
    <i>
      <x v="175"/>
    </i>
    <i>
      <x v="146"/>
    </i>
    <i>
      <x v="107"/>
    </i>
    <i>
      <x v="365"/>
    </i>
    <i>
      <x v="108"/>
    </i>
    <i>
      <x v="381"/>
    </i>
    <i>
      <x v="83"/>
    </i>
    <i>
      <x v="397"/>
    </i>
    <i>
      <x v="33"/>
    </i>
    <i>
      <x v="413"/>
    </i>
    <i>
      <x v="180"/>
    </i>
    <i>
      <x v="429"/>
    </i>
    <i>
      <x v="6"/>
    </i>
    <i>
      <x v="445"/>
    </i>
    <i>
      <x v="182"/>
    </i>
    <i>
      <x v="94"/>
    </i>
    <i>
      <x v="183"/>
    </i>
    <i>
      <x v="321"/>
    </i>
    <i>
      <x v="184"/>
    </i>
    <i>
      <x v="329"/>
    </i>
    <i>
      <x v="111"/>
    </i>
    <i>
      <x v="337"/>
    </i>
    <i>
      <x v="186"/>
    </i>
    <i>
      <x v="345"/>
    </i>
    <i>
      <x v="187"/>
    </i>
    <i>
      <x v="149"/>
    </i>
    <i>
      <x v="188"/>
    </i>
    <i>
      <x v="361"/>
    </i>
    <i>
      <x v="189"/>
    </i>
    <i>
      <x v="369"/>
    </i>
    <i>
      <x v="35"/>
    </i>
    <i>
      <x v="377"/>
    </i>
    <i>
      <x v="36"/>
    </i>
    <i>
      <x v="30"/>
    </i>
    <i>
      <x v="192"/>
    </i>
    <i>
      <x v="393"/>
    </i>
    <i>
      <x v="37"/>
    </i>
    <i>
      <x v="401"/>
    </i>
    <i>
      <x v="194"/>
    </i>
    <i>
      <x v="409"/>
    </i>
    <i>
      <x v="195"/>
    </i>
    <i>
      <x v="417"/>
    </i>
    <i>
      <x v="112"/>
    </i>
    <i>
      <x v="162"/>
    </i>
    <i>
      <x v="197"/>
    </i>
    <i>
      <x v="433"/>
    </i>
    <i>
      <x v="198"/>
    </i>
    <i>
      <x v="441"/>
    </i>
    <i>
      <x v="199"/>
    </i>
    <i>
      <x v="136"/>
    </i>
    <i>
      <x v="200"/>
    </i>
    <i>
      <x v="311"/>
    </i>
    <i>
      <x v="201"/>
    </i>
    <i>
      <x v="315"/>
    </i>
    <i>
      <x v="38"/>
    </i>
    <i>
      <x v="95"/>
    </i>
    <i>
      <x v="203"/>
    </i>
    <i>
      <x v="323"/>
    </i>
    <i>
      <x v="4"/>
    </i>
    <i>
      <x v="15"/>
    </i>
    <i>
      <x v="40"/>
    </i>
    <i>
      <x v="331"/>
    </i>
    <i>
      <x v="113"/>
    </i>
    <i>
      <x v="335"/>
    </i>
    <i>
      <x v="207"/>
    </i>
    <i>
      <x v="339"/>
    </i>
    <i>
      <x v="85"/>
    </i>
    <i>
      <x v="343"/>
    </i>
    <i>
      <x v="209"/>
    </i>
    <i>
      <x v="347"/>
    </i>
    <i>
      <x v="210"/>
    </i>
    <i>
      <x v="351"/>
    </i>
    <i>
      <x v="115"/>
    </i>
    <i>
      <x v="355"/>
    </i>
    <i>
      <x v="212"/>
    </i>
    <i>
      <x v="359"/>
    </i>
    <i>
      <x v="213"/>
    </i>
    <i>
      <x v="363"/>
    </i>
    <i>
      <x v="214"/>
    </i>
    <i>
      <x v="367"/>
    </i>
    <i>
      <x v="215"/>
    </i>
    <i>
      <x v="371"/>
    </i>
    <i>
      <x v="216"/>
    </i>
    <i>
      <x v="375"/>
    </i>
    <i>
      <x v="116"/>
    </i>
    <i>
      <x v="379"/>
    </i>
    <i>
      <x v="218"/>
    </i>
    <i>
      <x v="66"/>
    </i>
    <i>
      <x v="22"/>
    </i>
    <i>
      <x v="69"/>
    </i>
    <i>
      <x v="118"/>
    </i>
    <i>
      <x v="391"/>
    </i>
    <i>
      <x v="221"/>
    </i>
    <i>
      <x v="395"/>
    </i>
    <i>
      <x v="222"/>
    </i>
    <i>
      <x v="399"/>
    </i>
    <i>
      <x v="43"/>
    </i>
    <i>
      <x v="156"/>
    </i>
    <i>
      <x v="44"/>
    </i>
    <i>
      <x v="158"/>
    </i>
    <i>
      <x v="225"/>
    </i>
    <i>
      <x v="411"/>
    </i>
    <i>
      <x v="226"/>
    </i>
    <i>
      <x v="159"/>
    </i>
    <i>
      <x v="227"/>
    </i>
    <i>
      <x v="419"/>
    </i>
    <i>
      <x v="228"/>
    </i>
    <i>
      <x v="423"/>
    </i>
    <i>
      <x v="229"/>
    </i>
    <i>
      <x v="427"/>
    </i>
    <i>
      <x v="86"/>
    </i>
    <i>
      <x v="431"/>
    </i>
    <i>
      <x v="120"/>
    </i>
    <i>
      <x v="103"/>
    </i>
    <i>
      <x v="232"/>
    </i>
    <i>
      <x v="439"/>
    </i>
    <i>
      <x v="233"/>
    </i>
    <i>
      <x v="443"/>
    </i>
    <i>
      <x v="234"/>
    </i>
    <i>
      <x v="166"/>
    </i>
    <i>
      <x v="235"/>
    </i>
    <i>
      <x v="308"/>
    </i>
    <i>
      <x v="236"/>
    </i>
    <i>
      <x v="137"/>
    </i>
    <i>
      <x v="77"/>
    </i>
    <i>
      <x v="138"/>
    </i>
    <i>
      <x v="238"/>
    </i>
    <i>
      <x v="314"/>
    </i>
    <i>
      <x v="239"/>
    </i>
    <i>
      <x v="316"/>
    </i>
    <i>
      <x v="88"/>
    </i>
    <i>
      <x v="318"/>
    </i>
    <i>
      <x v="241"/>
    </i>
    <i>
      <x v="320"/>
    </i>
    <i>
      <x v="242"/>
    </i>
    <i>
      <x v="322"/>
    </i>
    <i>
      <x v="243"/>
    </i>
    <i>
      <x v="324"/>
    </i>
    <i>
      <x v="244"/>
    </i>
    <i>
      <x v="326"/>
    </i>
    <i>
      <x v="245"/>
    </i>
    <i>
      <x v="26"/>
    </i>
    <i>
      <x v="246"/>
    </i>
    <i>
      <x v="330"/>
    </i>
    <i>
      <x v="247"/>
    </i>
    <i>
      <x v="59"/>
    </i>
    <i>
      <x v="248"/>
    </i>
    <i>
      <x v="143"/>
    </i>
    <i>
      <x v="89"/>
    </i>
    <i>
      <x v="336"/>
    </i>
    <i>
      <x v="78"/>
    </i>
    <i>
      <x v="79"/>
    </i>
    <i>
      <x v="251"/>
    </i>
    <i>
      <x v="340"/>
    </i>
    <i>
      <x v="252"/>
    </i>
    <i>
      <x v="342"/>
    </i>
    <i>
      <x v="125"/>
    </i>
    <i>
      <x v="344"/>
    </i>
    <i>
      <x v="254"/>
    </i>
    <i>
      <x v="145"/>
    </i>
    <i>
      <x v="91"/>
    </i>
    <i>
      <x v="348"/>
    </i>
    <i>
      <x v="127"/>
    </i>
    <i>
      <x v="21"/>
    </i>
    <i>
      <x v="257"/>
    </i>
    <i>
      <x v="74"/>
    </i>
    <i>
      <x v="258"/>
    </i>
    <i>
      <x v="81"/>
    </i>
    <i>
      <x v="128"/>
    </i>
    <i>
      <x v="356"/>
    </i>
    <i>
      <x v="92"/>
    </i>
    <i>
      <x v="358"/>
    </i>
    <i>
      <x v="261"/>
    </i>
    <i>
      <x v="360"/>
    </i>
    <i>
      <x v="262"/>
    </i>
    <i>
      <x v="362"/>
    </i>
    <i>
      <x v="263"/>
    </i>
    <i>
      <x v="61"/>
    </i>
    <i>
      <x v="264"/>
    </i>
    <i>
      <x v="62"/>
    </i>
    <i>
      <x v="265"/>
    </i>
    <i>
      <x v="368"/>
    </i>
    <i>
      <x v="12"/>
    </i>
    <i>
      <x v="370"/>
    </i>
    <i>
      <x v="267"/>
    </i>
    <i>
      <x v="5"/>
    </i>
    <i>
      <x v="268"/>
    </i>
    <i>
      <x v="151"/>
    </i>
    <i>
      <x v="13"/>
    </i>
    <i>
      <x v="376"/>
    </i>
    <i>
      <x v="270"/>
    </i>
    <i>
      <x v="65"/>
    </i>
    <i>
      <x v="271"/>
    </i>
    <i>
      <x v="380"/>
    </i>
    <i>
      <x v="272"/>
    </i>
    <i>
      <x v="29"/>
    </i>
    <i>
      <x v="130"/>
    </i>
    <i>
      <x v="67"/>
    </i>
    <i>
      <x v="274"/>
    </i>
    <i>
      <x v="17"/>
    </i>
    <i>
      <x v="51"/>
    </i>
    <i>
      <x v="388"/>
    </i>
    <i>
      <x v="276"/>
    </i>
    <i>
      <x v="390"/>
    </i>
    <i>
      <x v="277"/>
    </i>
    <i>
      <x v="392"/>
    </i>
    <i>
      <x v="278"/>
    </i>
    <i>
      <x v="154"/>
    </i>
    <i>
      <x v="279"/>
    </i>
    <i>
      <x v="396"/>
    </i>
    <i>
      <x v="280"/>
    </i>
    <i>
      <x v="70"/>
    </i>
    <i>
      <x v="131"/>
    </i>
    <i>
      <x v="101"/>
    </i>
    <i>
      <x v="93"/>
    </i>
    <i>
      <x v="402"/>
    </i>
    <i>
      <x v="283"/>
    </i>
    <i>
      <x v="404"/>
    </i>
    <i>
      <x v="9"/>
    </i>
    <i>
      <x v="102"/>
    </i>
    <i>
      <x v="285"/>
    </i>
    <i>
      <x v="408"/>
    </i>
    <i>
      <x v="134"/>
    </i>
    <i>
      <x v="410"/>
    </i>
    <i>
      <x v="287"/>
    </i>
    <i>
      <x v="412"/>
    </i>
    <i>
      <x v="288"/>
    </i>
    <i>
      <x v="414"/>
    </i>
    <i>
      <x v="289"/>
    </i>
    <i>
      <x v="416"/>
    </i>
    <i>
      <x v="290"/>
    </i>
    <i>
      <x v="418"/>
    </i>
    <i>
      <x v="291"/>
    </i>
    <i>
      <x v="160"/>
    </i>
    <i>
      <x v="292"/>
    </i>
    <i>
      <x v="161"/>
    </i>
    <i>
      <x v="293"/>
    </i>
    <i>
      <x v="424"/>
    </i>
    <i>
      <x v="135"/>
    </i>
    <i>
      <x v="426"/>
    </i>
    <i>
      <x v="295"/>
    </i>
    <i>
      <x v="428"/>
    </i>
    <i>
      <x v="296"/>
    </i>
    <i>
      <x v="430"/>
    </i>
    <i>
      <x v="297"/>
    </i>
    <i>
      <x v="10"/>
    </i>
    <i>
      <x v="53"/>
    </i>
    <i>
      <x v="434"/>
    </i>
    <i>
      <x v="14"/>
    </i>
    <i>
      <x v="104"/>
    </i>
    <i>
      <x v="300"/>
    </i>
    <i>
      <x v="438"/>
    </i>
    <i>
      <x v="301"/>
    </i>
    <i>
      <x v="440"/>
    </i>
    <i>
      <x v="55"/>
    </i>
    <i>
      <x v="71"/>
    </i>
    <i>
      <x v="56"/>
    </i>
    <i>
      <x v="444"/>
    </i>
    <i>
      <x v="304"/>
    </i>
    <i>
      <x v="72"/>
    </i>
    <i>
      <x v="305"/>
    </i>
    <i>
      <x v="306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6" subtotal="count" baseField="0" baseItem="0"/>
    <dataField name="% of column" fld="6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6A3DA-BC64-483F-8EAF-11F6281CBA5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 rowHeaderCaption="Coffee-names">
  <location ref="T3:V20" firstHeaderRow="1" firstDataRow="1" firstDataCol="0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9B1FE-E175-439D-AB14-F00188D675D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 rowHeaderCaption="Coffee-names">
  <location ref="O3:P6" firstHeaderRow="1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offee_name" fld="8" subtotal="count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F33A3-3569-4378-BC81-9A78972F9C8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 rowHeaderCaption="Coffee-names">
  <location ref="I3:J9" firstHeaderRow="1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ffee_name" fld="8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5B6C2-35F1-436C-AF47-46E534C3CCE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Coffee-names">
  <location ref="A3:C12" firstHeaderRow="0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dataField="1"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9">
    <i>
      <x v="7"/>
    </i>
    <i>
      <x v="1"/>
    </i>
    <i>
      <x v="2"/>
    </i>
    <i>
      <x/>
    </i>
    <i>
      <x v="6"/>
    </i>
    <i>
      <x v="4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7" baseField="0" baseItem="0"/>
    <dataField name="% " fld="7" showDataAs="percentOfTotal" baseField="7" baseItem="0" numFmtId="1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B1A6F-FF4C-49CD-9363-2AB402FABD1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Coffee-names">
  <location ref="M2:N10" firstHeaderRow="1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Revenue" fld="7" subtotal="average" baseField="7" baseItem="7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A8BA2-5999-4535-A022-8C36AE39D28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Coffee-names">
  <location ref="G2:H8" firstHeaderRow="1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0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Revenue" fld="7" subtotal="average" baseField="7" baseItem="7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B9FD1-2DB3-4F30-B7E8-96513421D07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Coffee-names">
  <location ref="A2:B11" firstHeaderRow="1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dataField="1"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9">
    <i>
      <x v="6"/>
    </i>
    <i>
      <x v="2"/>
    </i>
    <i>
      <x v="7"/>
    </i>
    <i>
      <x v="3"/>
    </i>
    <i>
      <x v="1"/>
    </i>
    <i>
      <x v="4"/>
    </i>
    <i>
      <x/>
    </i>
    <i>
      <x v="5"/>
    </i>
    <i t="grand">
      <x/>
    </i>
  </rowItems>
  <colItems count="1">
    <i/>
  </colItems>
  <dataFields count="1">
    <dataField name="Average Revenue" fld="7" subtotal="average" baseField="7" baseItem="7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C2313-BCBA-4E76-A917-82BACD91E3A1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Coffee-names">
  <location ref="S2:T7" firstHeaderRow="1" firstDataRow="1" firstDataCol="1"/>
  <pivotFields count="14"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numFmtId="47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axis="axisRow" showAll="0">
      <items count="21">
        <item m="1" x="15"/>
        <item m="1" x="17"/>
        <item m="1" x="14"/>
        <item m="1" x="4"/>
        <item m="1" x="11"/>
        <item m="1" x="5"/>
        <item m="1" x="6"/>
        <item m="1" x="12"/>
        <item m="1" x="7"/>
        <item m="1" x="8"/>
        <item m="1" x="13"/>
        <item m="1" x="9"/>
        <item m="1" x="10"/>
        <item m="1" x="16"/>
        <item m="1" x="19"/>
        <item m="1" x="18"/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sd="0" x="4"/>
        <item sd="0" x="5"/>
        <item sd="0" x="6"/>
        <item sd="0" x="7"/>
        <item t="default"/>
      </items>
    </pivotField>
  </pivotFields>
  <rowFields count="2">
    <field x="13"/>
    <field x="4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Revenue" fld="7" subtotal="average" baseField="7" baseItem="7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CF35-D95F-4E72-BF97-9842AA5160A1}">
  <dimension ref="C1:AA59"/>
  <sheetViews>
    <sheetView tabSelected="1" zoomScale="46" workbookViewId="0">
      <selection activeCell="AD11" sqref="AD11"/>
    </sheetView>
  </sheetViews>
  <sheetFormatPr defaultRowHeight="14.5" x14ac:dyDescent="0.35"/>
  <sheetData>
    <row r="1" spans="3:27" ht="15" thickBot="1" x14ac:dyDescent="0.4">
      <c r="Y1" s="26"/>
    </row>
    <row r="2" spans="3:27" x14ac:dyDescent="0.35">
      <c r="C2" s="19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Z2" s="25"/>
      <c r="AA2" s="20"/>
    </row>
    <row r="3" spans="3:27" x14ac:dyDescent="0.35">
      <c r="C3" s="21"/>
      <c r="AA3" s="22"/>
    </row>
    <row r="4" spans="3:27" x14ac:dyDescent="0.35">
      <c r="C4" s="21"/>
      <c r="AA4" s="22"/>
    </row>
    <row r="5" spans="3:27" x14ac:dyDescent="0.35">
      <c r="C5" s="21"/>
      <c r="AA5" s="22"/>
    </row>
    <row r="6" spans="3:27" x14ac:dyDescent="0.35">
      <c r="C6" s="21"/>
      <c r="AA6" s="22"/>
    </row>
    <row r="7" spans="3:27" x14ac:dyDescent="0.35">
      <c r="C7" s="21"/>
      <c r="AA7" s="22"/>
    </row>
    <row r="8" spans="3:27" x14ac:dyDescent="0.35">
      <c r="C8" s="21"/>
      <c r="AA8" s="22"/>
    </row>
    <row r="9" spans="3:27" x14ac:dyDescent="0.35">
      <c r="C9" s="21"/>
      <c r="AA9" s="22"/>
    </row>
    <row r="10" spans="3:27" x14ac:dyDescent="0.35">
      <c r="C10" s="21"/>
      <c r="AA10" s="22"/>
    </row>
    <row r="11" spans="3:27" x14ac:dyDescent="0.35">
      <c r="C11" s="21"/>
      <c r="AA11" s="22"/>
    </row>
    <row r="12" spans="3:27" x14ac:dyDescent="0.35">
      <c r="C12" s="21"/>
      <c r="AA12" s="22"/>
    </row>
    <row r="13" spans="3:27" x14ac:dyDescent="0.35">
      <c r="C13" s="21"/>
      <c r="AA13" s="22"/>
    </row>
    <row r="14" spans="3:27" x14ac:dyDescent="0.35">
      <c r="C14" s="21"/>
      <c r="AA14" s="22"/>
    </row>
    <row r="15" spans="3:27" x14ac:dyDescent="0.35">
      <c r="C15" s="21"/>
      <c r="AA15" s="22"/>
    </row>
    <row r="16" spans="3:27" x14ac:dyDescent="0.35">
      <c r="C16" s="21"/>
      <c r="AA16" s="22"/>
    </row>
    <row r="17" spans="3:27" x14ac:dyDescent="0.35">
      <c r="C17" s="21"/>
      <c r="AA17" s="22"/>
    </row>
    <row r="18" spans="3:27" x14ac:dyDescent="0.35">
      <c r="C18" s="21"/>
      <c r="AA18" s="22"/>
    </row>
    <row r="19" spans="3:27" x14ac:dyDescent="0.35">
      <c r="C19" s="21"/>
      <c r="AA19" s="22"/>
    </row>
    <row r="20" spans="3:27" x14ac:dyDescent="0.35">
      <c r="C20" s="21"/>
      <c r="AA20" s="22"/>
    </row>
    <row r="21" spans="3:27" x14ac:dyDescent="0.35">
      <c r="C21" s="21"/>
      <c r="AA21" s="22"/>
    </row>
    <row r="22" spans="3:27" x14ac:dyDescent="0.35">
      <c r="C22" s="21"/>
      <c r="AA22" s="22"/>
    </row>
    <row r="23" spans="3:27" x14ac:dyDescent="0.35">
      <c r="C23" s="21"/>
      <c r="AA23" s="22"/>
    </row>
    <row r="24" spans="3:27" x14ac:dyDescent="0.35">
      <c r="C24" s="21"/>
      <c r="AA24" s="22"/>
    </row>
    <row r="25" spans="3:27" x14ac:dyDescent="0.35">
      <c r="C25" s="21"/>
      <c r="AA25" s="22"/>
    </row>
    <row r="26" spans="3:27" x14ac:dyDescent="0.35">
      <c r="C26" s="21"/>
      <c r="AA26" s="22"/>
    </row>
    <row r="27" spans="3:27" x14ac:dyDescent="0.35">
      <c r="C27" s="21"/>
      <c r="AA27" s="22"/>
    </row>
    <row r="28" spans="3:27" x14ac:dyDescent="0.35">
      <c r="C28" s="21"/>
      <c r="AA28" s="22"/>
    </row>
    <row r="29" spans="3:27" x14ac:dyDescent="0.35">
      <c r="C29" s="21"/>
      <c r="AA29" s="22"/>
    </row>
    <row r="30" spans="3:27" x14ac:dyDescent="0.35">
      <c r="C30" s="21"/>
      <c r="AA30" s="22"/>
    </row>
    <row r="31" spans="3:27" x14ac:dyDescent="0.35">
      <c r="C31" s="21"/>
      <c r="AA31" s="22"/>
    </row>
    <row r="32" spans="3:27" x14ac:dyDescent="0.35">
      <c r="C32" s="21"/>
      <c r="AA32" s="22"/>
    </row>
    <row r="33" spans="3:27" x14ac:dyDescent="0.35">
      <c r="C33" s="21"/>
      <c r="AA33" s="22"/>
    </row>
    <row r="34" spans="3:27" x14ac:dyDescent="0.35">
      <c r="C34" s="21"/>
      <c r="AA34" s="22"/>
    </row>
    <row r="35" spans="3:27" x14ac:dyDescent="0.35">
      <c r="C35" s="21"/>
      <c r="AA35" s="22"/>
    </row>
    <row r="36" spans="3:27" x14ac:dyDescent="0.35">
      <c r="C36" s="21"/>
      <c r="AA36" s="22"/>
    </row>
    <row r="37" spans="3:27" x14ac:dyDescent="0.35">
      <c r="C37" s="21"/>
      <c r="AA37" s="22"/>
    </row>
    <row r="38" spans="3:27" x14ac:dyDescent="0.35">
      <c r="C38" s="21"/>
      <c r="AA38" s="22"/>
    </row>
    <row r="39" spans="3:27" x14ac:dyDescent="0.35">
      <c r="C39" s="21"/>
      <c r="AA39" s="22"/>
    </row>
    <row r="40" spans="3:27" x14ac:dyDescent="0.35">
      <c r="C40" s="21"/>
      <c r="AA40" s="22"/>
    </row>
    <row r="41" spans="3:27" x14ac:dyDescent="0.35">
      <c r="C41" s="21"/>
      <c r="AA41" s="22"/>
    </row>
    <row r="42" spans="3:27" x14ac:dyDescent="0.35">
      <c r="C42" s="21"/>
      <c r="AA42" s="22"/>
    </row>
    <row r="43" spans="3:27" x14ac:dyDescent="0.35">
      <c r="C43" s="21"/>
      <c r="AA43" s="22"/>
    </row>
    <row r="44" spans="3:27" x14ac:dyDescent="0.35">
      <c r="C44" s="21"/>
      <c r="AA44" s="22"/>
    </row>
    <row r="45" spans="3:27" x14ac:dyDescent="0.35">
      <c r="C45" s="21"/>
      <c r="AA45" s="22"/>
    </row>
    <row r="46" spans="3:27" x14ac:dyDescent="0.35">
      <c r="C46" s="21"/>
      <c r="AA46" s="22"/>
    </row>
    <row r="47" spans="3:27" x14ac:dyDescent="0.35">
      <c r="C47" s="21"/>
      <c r="AA47" s="22"/>
    </row>
    <row r="48" spans="3:27" x14ac:dyDescent="0.35">
      <c r="C48" s="21"/>
      <c r="AA48" s="22"/>
    </row>
    <row r="49" spans="3:27" ht="15" thickBot="1" x14ac:dyDescent="0.4">
      <c r="C49" s="23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4"/>
    </row>
    <row r="50" spans="3:27" x14ac:dyDescent="0.35">
      <c r="C50" s="21"/>
      <c r="AA50" s="22"/>
    </row>
    <row r="51" spans="3:27" x14ac:dyDescent="0.35">
      <c r="C51" s="21"/>
      <c r="AA51" s="22"/>
    </row>
    <row r="52" spans="3:27" x14ac:dyDescent="0.35">
      <c r="C52" s="21"/>
      <c r="AA52" s="22"/>
    </row>
    <row r="53" spans="3:27" x14ac:dyDescent="0.35">
      <c r="C53" s="21"/>
      <c r="AA53" s="22"/>
    </row>
    <row r="54" spans="3:27" x14ac:dyDescent="0.35">
      <c r="C54" s="21"/>
      <c r="AA54" s="22"/>
    </row>
    <row r="55" spans="3:27" x14ac:dyDescent="0.35">
      <c r="C55" s="21"/>
      <c r="AA55" s="22"/>
    </row>
    <row r="56" spans="3:27" x14ac:dyDescent="0.35">
      <c r="C56" s="21"/>
      <c r="AA56" s="22"/>
    </row>
    <row r="57" spans="3:27" x14ac:dyDescent="0.35">
      <c r="C57" s="21"/>
      <c r="AA57" s="22"/>
    </row>
    <row r="58" spans="3:27" x14ac:dyDescent="0.35">
      <c r="C58" s="21"/>
      <c r="AA58" s="22"/>
    </row>
    <row r="59" spans="3:27" ht="15" thickBot="1" x14ac:dyDescent="0.4">
      <c r="C59" s="23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78B4-CBE7-401A-9D61-D5BF93CBB817}">
  <dimension ref="A1:F1134"/>
  <sheetViews>
    <sheetView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35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35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35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6" x14ac:dyDescent="0.35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35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35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35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35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35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35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35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35">
      <c r="A14" s="1">
        <v>45353</v>
      </c>
      <c r="B14" s="2">
        <v>45353.437912824076</v>
      </c>
      <c r="C14" t="s">
        <v>21</v>
      </c>
      <c r="E14">
        <v>40</v>
      </c>
      <c r="F14" t="s">
        <v>7</v>
      </c>
    </row>
    <row r="15" spans="1:6" x14ac:dyDescent="0.35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35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35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35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35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35">
      <c r="A20" s="1">
        <v>45354</v>
      </c>
      <c r="B20" s="2">
        <v>45354.424120150463</v>
      </c>
      <c r="C20" t="s">
        <v>21</v>
      </c>
      <c r="E20">
        <v>40</v>
      </c>
      <c r="F20" t="s">
        <v>7</v>
      </c>
    </row>
    <row r="21" spans="1:6" x14ac:dyDescent="0.35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35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35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35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35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35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35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35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35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35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35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35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5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5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5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5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5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5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5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5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5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5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5">
      <c r="A43" s="1">
        <v>45357</v>
      </c>
      <c r="B43" s="2">
        <v>45357.521146863422</v>
      </c>
      <c r="C43" t="s">
        <v>21</v>
      </c>
      <c r="E43">
        <v>35</v>
      </c>
      <c r="F43" t="s">
        <v>14</v>
      </c>
    </row>
    <row r="44" spans="1:6" x14ac:dyDescent="0.35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5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5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5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5">
      <c r="A48" s="1">
        <v>45358</v>
      </c>
      <c r="B48" s="2">
        <v>45358.42290445602</v>
      </c>
      <c r="C48" t="s">
        <v>21</v>
      </c>
      <c r="E48">
        <v>40</v>
      </c>
      <c r="F48" t="s">
        <v>7</v>
      </c>
    </row>
    <row r="49" spans="1:6" x14ac:dyDescent="0.35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5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5">
      <c r="A51" s="1">
        <v>45358</v>
      </c>
      <c r="B51" s="2">
        <v>45358.476203437502</v>
      </c>
      <c r="C51" t="s">
        <v>21</v>
      </c>
      <c r="E51">
        <v>40</v>
      </c>
      <c r="F51" t="s">
        <v>7</v>
      </c>
    </row>
    <row r="52" spans="1:6" x14ac:dyDescent="0.35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5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5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5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5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5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5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5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5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5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5">
      <c r="A62" s="1">
        <v>45360</v>
      </c>
      <c r="B62" s="2">
        <v>45360.492792731478</v>
      </c>
      <c r="C62" t="s">
        <v>21</v>
      </c>
      <c r="E62">
        <v>40</v>
      </c>
      <c r="F62" t="s">
        <v>9</v>
      </c>
    </row>
    <row r="63" spans="1:6" x14ac:dyDescent="0.35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5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5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5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5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5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5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5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5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5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5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5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5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5">
      <c r="A76" s="1">
        <v>45361</v>
      </c>
      <c r="B76" s="2">
        <v>45361.322436782408</v>
      </c>
      <c r="C76" t="s">
        <v>21</v>
      </c>
      <c r="E76">
        <v>30</v>
      </c>
      <c r="F76" t="s">
        <v>11</v>
      </c>
    </row>
    <row r="77" spans="1:6" x14ac:dyDescent="0.35">
      <c r="A77" s="1">
        <v>45361</v>
      </c>
      <c r="B77" s="2">
        <v>45361.323257418982</v>
      </c>
      <c r="C77" t="s">
        <v>21</v>
      </c>
      <c r="E77">
        <v>35</v>
      </c>
      <c r="F77" t="s">
        <v>14</v>
      </c>
    </row>
    <row r="78" spans="1:6" x14ac:dyDescent="0.35">
      <c r="A78" s="1">
        <v>45361</v>
      </c>
      <c r="B78" s="2">
        <v>45361.420867592591</v>
      </c>
      <c r="C78" t="s">
        <v>21</v>
      </c>
      <c r="E78">
        <v>40</v>
      </c>
      <c r="F78" t="s">
        <v>7</v>
      </c>
    </row>
    <row r="79" spans="1:6" x14ac:dyDescent="0.35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5">
      <c r="A80" s="1">
        <v>45361</v>
      </c>
      <c r="B80" s="2">
        <v>45361.74378527778</v>
      </c>
      <c r="C80" t="s">
        <v>21</v>
      </c>
      <c r="E80">
        <v>35</v>
      </c>
      <c r="F80" t="s">
        <v>14</v>
      </c>
    </row>
    <row r="81" spans="1:6" x14ac:dyDescent="0.35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5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5">
      <c r="A83" s="1">
        <v>45362</v>
      </c>
      <c r="B83" s="2">
        <v>45362.429707453703</v>
      </c>
      <c r="C83" t="s">
        <v>21</v>
      </c>
      <c r="E83">
        <v>40</v>
      </c>
      <c r="F83" t="s">
        <v>7</v>
      </c>
    </row>
    <row r="84" spans="1:6" x14ac:dyDescent="0.35">
      <c r="A84" s="1">
        <v>45362</v>
      </c>
      <c r="B84" s="2">
        <v>45362.475173865743</v>
      </c>
      <c r="C84" t="s">
        <v>21</v>
      </c>
      <c r="E84">
        <v>40</v>
      </c>
      <c r="F84" t="s">
        <v>43</v>
      </c>
    </row>
    <row r="85" spans="1:6" x14ac:dyDescent="0.35">
      <c r="A85" s="1">
        <v>45362</v>
      </c>
      <c r="B85" s="2">
        <v>45362.47559681713</v>
      </c>
      <c r="C85" t="s">
        <v>21</v>
      </c>
      <c r="E85">
        <v>30</v>
      </c>
      <c r="F85" t="s">
        <v>28</v>
      </c>
    </row>
    <row r="86" spans="1:6" x14ac:dyDescent="0.35">
      <c r="A86" s="1">
        <v>45362</v>
      </c>
      <c r="B86" s="2">
        <v>45362.476900706017</v>
      </c>
      <c r="C86" t="s">
        <v>21</v>
      </c>
      <c r="E86">
        <v>30</v>
      </c>
      <c r="F86" t="s">
        <v>11</v>
      </c>
    </row>
    <row r="87" spans="1:6" x14ac:dyDescent="0.35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5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5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5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5">
      <c r="A91" s="1">
        <v>45363</v>
      </c>
      <c r="B91" s="2">
        <v>45363.427086770833</v>
      </c>
      <c r="C91" t="s">
        <v>21</v>
      </c>
      <c r="E91">
        <v>40</v>
      </c>
      <c r="F91" t="s">
        <v>7</v>
      </c>
    </row>
    <row r="92" spans="1:6" x14ac:dyDescent="0.35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5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5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5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5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5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5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5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5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5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5">
      <c r="A102" s="1">
        <v>45364</v>
      </c>
      <c r="B102" s="2">
        <v>45364.523961979168</v>
      </c>
      <c r="C102" t="s">
        <v>21</v>
      </c>
      <c r="E102">
        <v>25</v>
      </c>
      <c r="F102" t="s">
        <v>35</v>
      </c>
    </row>
    <row r="103" spans="1:6" x14ac:dyDescent="0.35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5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5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5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5">
      <c r="A107" s="1">
        <v>45365</v>
      </c>
      <c r="B107" s="2">
        <v>45365.418197233797</v>
      </c>
      <c r="C107" t="s">
        <v>21</v>
      </c>
      <c r="E107">
        <v>40</v>
      </c>
      <c r="F107" t="s">
        <v>7</v>
      </c>
    </row>
    <row r="108" spans="1:6" x14ac:dyDescent="0.35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5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5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5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5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5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5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5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5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5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5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5">
      <c r="A119" s="1">
        <v>45366</v>
      </c>
      <c r="B119" s="2">
        <v>45366.418246909721</v>
      </c>
      <c r="C119" t="s">
        <v>21</v>
      </c>
      <c r="E119">
        <v>40</v>
      </c>
      <c r="F119" t="s">
        <v>7</v>
      </c>
    </row>
    <row r="120" spans="1:6" x14ac:dyDescent="0.35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5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5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5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5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5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5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5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5">
      <c r="A128" s="1">
        <v>45368</v>
      </c>
      <c r="B128" s="2">
        <v>45368.423858784721</v>
      </c>
      <c r="C128" t="s">
        <v>21</v>
      </c>
      <c r="E128">
        <v>40</v>
      </c>
      <c r="F128" t="s">
        <v>7</v>
      </c>
    </row>
    <row r="129" spans="1:6" x14ac:dyDescent="0.35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5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5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5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5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5">
      <c r="A134" s="1">
        <v>45370</v>
      </c>
      <c r="B134" s="2">
        <v>45370.430856435189</v>
      </c>
      <c r="C134" t="s">
        <v>21</v>
      </c>
      <c r="E134">
        <v>30</v>
      </c>
      <c r="F134" t="s">
        <v>28</v>
      </c>
    </row>
    <row r="135" spans="1:6" x14ac:dyDescent="0.35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5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5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5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5">
      <c r="A139" s="1">
        <v>45370</v>
      </c>
      <c r="B139" s="2">
        <v>45370.810100428243</v>
      </c>
      <c r="C139" t="s">
        <v>21</v>
      </c>
      <c r="E139">
        <v>40</v>
      </c>
      <c r="F139" t="s">
        <v>9</v>
      </c>
    </row>
    <row r="140" spans="1:6" x14ac:dyDescent="0.35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5">
      <c r="A141" s="1">
        <v>45371</v>
      </c>
      <c r="B141" s="2">
        <v>45371.514672777776</v>
      </c>
      <c r="C141" t="s">
        <v>21</v>
      </c>
      <c r="E141">
        <v>40</v>
      </c>
      <c r="F141" t="s">
        <v>7</v>
      </c>
    </row>
    <row r="142" spans="1:6" x14ac:dyDescent="0.35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5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5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5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5">
      <c r="A146" s="1">
        <v>45372</v>
      </c>
      <c r="B146" s="2">
        <v>45372.429826122687</v>
      </c>
      <c r="C146" t="s">
        <v>21</v>
      </c>
      <c r="E146">
        <v>40</v>
      </c>
      <c r="F146" t="s">
        <v>43</v>
      </c>
    </row>
    <row r="147" spans="1:6" x14ac:dyDescent="0.35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5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5">
      <c r="A149" s="1">
        <v>45372</v>
      </c>
      <c r="B149" s="2">
        <v>45372.722933483798</v>
      </c>
      <c r="C149" t="s">
        <v>21</v>
      </c>
      <c r="E149">
        <v>30</v>
      </c>
      <c r="F149" t="s">
        <v>11</v>
      </c>
    </row>
    <row r="150" spans="1:6" x14ac:dyDescent="0.35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5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5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5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5">
      <c r="A154" s="1">
        <v>45373</v>
      </c>
      <c r="B154" s="2">
        <v>45373.677250555556</v>
      </c>
      <c r="C154" t="s">
        <v>21</v>
      </c>
      <c r="E154">
        <v>40</v>
      </c>
      <c r="F154" t="s">
        <v>43</v>
      </c>
    </row>
    <row r="155" spans="1:6" x14ac:dyDescent="0.35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5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5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5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5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5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5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5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5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5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5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5">
      <c r="A166" s="1">
        <v>45375</v>
      </c>
      <c r="B166" s="2">
        <v>45375.419398206017</v>
      </c>
      <c r="C166" t="s">
        <v>21</v>
      </c>
      <c r="E166">
        <v>40</v>
      </c>
      <c r="F166" t="s">
        <v>7</v>
      </c>
    </row>
    <row r="167" spans="1:6" x14ac:dyDescent="0.35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5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5">
      <c r="A169" s="1">
        <v>45376</v>
      </c>
      <c r="B169" s="2">
        <v>45376.469741562498</v>
      </c>
      <c r="C169" t="s">
        <v>21</v>
      </c>
      <c r="E169">
        <v>35</v>
      </c>
      <c r="F169" t="s">
        <v>14</v>
      </c>
    </row>
    <row r="170" spans="1:6" x14ac:dyDescent="0.35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5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5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5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5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5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5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5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5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5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5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5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5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5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5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5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5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5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5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5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5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5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5">
      <c r="A192" s="1">
        <v>45378</v>
      </c>
      <c r="B192" s="2">
        <v>45378.813338449072</v>
      </c>
      <c r="C192" t="s">
        <v>21</v>
      </c>
      <c r="E192">
        <v>40</v>
      </c>
      <c r="F192" t="s">
        <v>7</v>
      </c>
    </row>
    <row r="193" spans="1:6" x14ac:dyDescent="0.35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5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5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5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5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5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5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5">
      <c r="A200" s="1">
        <v>45380</v>
      </c>
      <c r="B200" s="2">
        <v>45380.557460856478</v>
      </c>
      <c r="C200" t="s">
        <v>21</v>
      </c>
      <c r="E200">
        <v>40</v>
      </c>
      <c r="F200" t="s">
        <v>43</v>
      </c>
    </row>
    <row r="201" spans="1:6" x14ac:dyDescent="0.35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5">
      <c r="A202" s="1">
        <v>45381</v>
      </c>
      <c r="B202" s="2">
        <v>45381.575993229169</v>
      </c>
      <c r="C202" t="s">
        <v>21</v>
      </c>
      <c r="E202">
        <v>40</v>
      </c>
      <c r="F202" t="s">
        <v>43</v>
      </c>
    </row>
    <row r="203" spans="1:6" x14ac:dyDescent="0.35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5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5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5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5">
      <c r="A207" s="1">
        <v>45382</v>
      </c>
      <c r="B207" s="2">
        <v>45382.817187499997</v>
      </c>
      <c r="C207" t="s">
        <v>21</v>
      </c>
      <c r="E207">
        <v>30</v>
      </c>
      <c r="F207" t="s">
        <v>11</v>
      </c>
    </row>
    <row r="208" spans="1:6" x14ac:dyDescent="0.35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5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5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5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5">
      <c r="A212" s="1">
        <v>45383</v>
      </c>
      <c r="B212" s="2">
        <v>45383.709524583333</v>
      </c>
      <c r="C212" t="s">
        <v>21</v>
      </c>
      <c r="E212">
        <v>40</v>
      </c>
      <c r="F212" t="s">
        <v>43</v>
      </c>
    </row>
    <row r="213" spans="1:6" x14ac:dyDescent="0.35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5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5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5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5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5">
      <c r="A218" s="1">
        <v>45384</v>
      </c>
      <c r="B218" s="2">
        <v>45384.833008587964</v>
      </c>
      <c r="C218" t="s">
        <v>21</v>
      </c>
      <c r="E218">
        <v>40</v>
      </c>
      <c r="F218" t="s">
        <v>43</v>
      </c>
    </row>
    <row r="219" spans="1:6" x14ac:dyDescent="0.35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5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5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5">
      <c r="A222" s="1">
        <v>45385</v>
      </c>
      <c r="B222" s="2">
        <v>45385.650135821757</v>
      </c>
      <c r="C222" t="s">
        <v>21</v>
      </c>
      <c r="E222">
        <v>30</v>
      </c>
      <c r="F222" t="s">
        <v>28</v>
      </c>
    </row>
    <row r="223" spans="1:6" x14ac:dyDescent="0.35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5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5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5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5">
      <c r="A227" s="1">
        <v>45386</v>
      </c>
      <c r="B227" s="2">
        <v>45386.820922916668</v>
      </c>
      <c r="C227" t="s">
        <v>21</v>
      </c>
      <c r="E227">
        <v>40</v>
      </c>
      <c r="F227" t="s">
        <v>7</v>
      </c>
    </row>
    <row r="228" spans="1:6" x14ac:dyDescent="0.35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5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5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5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5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5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5">
      <c r="A234" s="1">
        <v>45387</v>
      </c>
      <c r="B234" s="2">
        <v>45387.646416469906</v>
      </c>
      <c r="C234" t="s">
        <v>21</v>
      </c>
      <c r="E234">
        <v>40</v>
      </c>
      <c r="F234" t="s">
        <v>7</v>
      </c>
    </row>
    <row r="235" spans="1:6" x14ac:dyDescent="0.35">
      <c r="A235" s="1">
        <v>45387</v>
      </c>
      <c r="B235" s="2">
        <v>45387.662682499998</v>
      </c>
      <c r="C235" t="s">
        <v>21</v>
      </c>
      <c r="E235">
        <v>40</v>
      </c>
      <c r="F235" t="s">
        <v>43</v>
      </c>
    </row>
    <row r="236" spans="1:6" x14ac:dyDescent="0.35">
      <c r="A236" s="1">
        <v>45387</v>
      </c>
      <c r="B236" s="2">
        <v>45387.663552627317</v>
      </c>
      <c r="C236" t="s">
        <v>21</v>
      </c>
      <c r="E236">
        <v>30</v>
      </c>
      <c r="F236" t="s">
        <v>11</v>
      </c>
    </row>
    <row r="237" spans="1:6" x14ac:dyDescent="0.35">
      <c r="A237" s="1">
        <v>45387</v>
      </c>
      <c r="B237" s="2">
        <v>45387.678981192126</v>
      </c>
      <c r="C237" t="s">
        <v>21</v>
      </c>
      <c r="E237">
        <v>40</v>
      </c>
      <c r="F237" t="s">
        <v>18</v>
      </c>
    </row>
    <row r="238" spans="1:6" x14ac:dyDescent="0.35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5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5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5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5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5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5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5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5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5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5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5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5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5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5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5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5">
      <c r="A254" s="1">
        <v>45390</v>
      </c>
      <c r="B254" s="2">
        <v>45390.537799733793</v>
      </c>
      <c r="C254" t="s">
        <v>21</v>
      </c>
      <c r="E254">
        <v>25</v>
      </c>
      <c r="F254" t="s">
        <v>35</v>
      </c>
    </row>
    <row r="255" spans="1:6" x14ac:dyDescent="0.35">
      <c r="A255" s="1">
        <v>45390</v>
      </c>
      <c r="B255" s="2">
        <v>45390.655287974536</v>
      </c>
      <c r="C255" t="s">
        <v>21</v>
      </c>
      <c r="E255">
        <v>35</v>
      </c>
      <c r="F255" t="s">
        <v>14</v>
      </c>
    </row>
    <row r="256" spans="1:6" x14ac:dyDescent="0.35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5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5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5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5">
      <c r="A260" s="1">
        <v>45391</v>
      </c>
      <c r="B260" s="2">
        <v>45391.432261099537</v>
      </c>
      <c r="C260" t="s">
        <v>21</v>
      </c>
      <c r="E260">
        <v>40</v>
      </c>
      <c r="F260" t="s">
        <v>43</v>
      </c>
    </row>
    <row r="261" spans="1:6" x14ac:dyDescent="0.35">
      <c r="A261" s="1">
        <v>45391</v>
      </c>
      <c r="B261" s="2">
        <v>45391.433450266202</v>
      </c>
      <c r="C261" t="s">
        <v>21</v>
      </c>
      <c r="E261">
        <v>30</v>
      </c>
      <c r="F261" t="s">
        <v>11</v>
      </c>
    </row>
    <row r="262" spans="1:6" x14ac:dyDescent="0.35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5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5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5">
      <c r="A265" s="1">
        <v>45392</v>
      </c>
      <c r="B265" s="2">
        <v>45392.431552951391</v>
      </c>
      <c r="C265" t="s">
        <v>21</v>
      </c>
      <c r="E265">
        <v>25</v>
      </c>
      <c r="F265" t="s">
        <v>35</v>
      </c>
    </row>
    <row r="266" spans="1:6" x14ac:dyDescent="0.35">
      <c r="A266" s="1">
        <v>45392</v>
      </c>
      <c r="B266" s="2">
        <v>45392.746609004629</v>
      </c>
      <c r="C266" t="s">
        <v>21</v>
      </c>
      <c r="E266">
        <v>40</v>
      </c>
      <c r="F266" t="s">
        <v>9</v>
      </c>
    </row>
    <row r="267" spans="1:6" x14ac:dyDescent="0.35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5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5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5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5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5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5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5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5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5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5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5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5">
      <c r="A279" s="1">
        <v>45395</v>
      </c>
      <c r="B279" s="2">
        <v>45395.629771898151</v>
      </c>
      <c r="C279" t="s">
        <v>21</v>
      </c>
      <c r="E279">
        <v>40</v>
      </c>
      <c r="F279" t="s">
        <v>9</v>
      </c>
    </row>
    <row r="280" spans="1:6" x14ac:dyDescent="0.35">
      <c r="A280" s="1">
        <v>45395</v>
      </c>
      <c r="B280" s="2">
        <v>45395.630508865739</v>
      </c>
      <c r="C280" t="s">
        <v>21</v>
      </c>
      <c r="E280">
        <v>40</v>
      </c>
      <c r="F280" t="s">
        <v>9</v>
      </c>
    </row>
    <row r="281" spans="1:6" x14ac:dyDescent="0.35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5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5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5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5">
      <c r="A285" s="1">
        <v>45396</v>
      </c>
      <c r="B285" s="2">
        <v>45396.455178310185</v>
      </c>
      <c r="C285" t="s">
        <v>21</v>
      </c>
      <c r="E285">
        <v>40</v>
      </c>
      <c r="F285" t="s">
        <v>7</v>
      </c>
    </row>
    <row r="286" spans="1:6" x14ac:dyDescent="0.35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5">
      <c r="A287" s="1">
        <v>45396</v>
      </c>
      <c r="B287" s="2">
        <v>45396.51885359954</v>
      </c>
      <c r="C287" t="s">
        <v>21</v>
      </c>
      <c r="E287">
        <v>30</v>
      </c>
      <c r="F287" t="s">
        <v>28</v>
      </c>
    </row>
    <row r="288" spans="1:6" x14ac:dyDescent="0.35">
      <c r="A288" s="1">
        <v>45396</v>
      </c>
      <c r="B288" s="2">
        <v>45396.520218483798</v>
      </c>
      <c r="C288" t="s">
        <v>21</v>
      </c>
      <c r="E288">
        <v>30</v>
      </c>
      <c r="F288" t="s">
        <v>28</v>
      </c>
    </row>
    <row r="289" spans="1:6" x14ac:dyDescent="0.35">
      <c r="A289" s="1">
        <v>45396</v>
      </c>
      <c r="B289" s="2">
        <v>45396.52194486111</v>
      </c>
      <c r="C289" t="s">
        <v>21</v>
      </c>
      <c r="E289">
        <v>35</v>
      </c>
      <c r="F289" t="s">
        <v>14</v>
      </c>
    </row>
    <row r="290" spans="1:6" x14ac:dyDescent="0.35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5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5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5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5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5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5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5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5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5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5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5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5">
      <c r="A302" s="1">
        <v>45397</v>
      </c>
      <c r="B302" s="2">
        <v>45397.820811481484</v>
      </c>
      <c r="C302" t="s">
        <v>21</v>
      </c>
      <c r="E302">
        <v>25</v>
      </c>
      <c r="F302" t="s">
        <v>35</v>
      </c>
    </row>
    <row r="303" spans="1:6" x14ac:dyDescent="0.35">
      <c r="A303" s="1">
        <v>45398</v>
      </c>
      <c r="B303" s="2">
        <v>45398.447105405095</v>
      </c>
      <c r="C303" t="s">
        <v>21</v>
      </c>
      <c r="E303">
        <v>35</v>
      </c>
      <c r="F303" t="s">
        <v>14</v>
      </c>
    </row>
    <row r="304" spans="1:6" x14ac:dyDescent="0.35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5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5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5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5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5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5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5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5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5">
      <c r="A313" s="1">
        <v>45399</v>
      </c>
      <c r="B313" s="2">
        <v>45399.675975810183</v>
      </c>
      <c r="C313" t="s">
        <v>21</v>
      </c>
      <c r="E313">
        <v>40</v>
      </c>
      <c r="F313" t="s">
        <v>43</v>
      </c>
    </row>
    <row r="314" spans="1:6" x14ac:dyDescent="0.35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5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5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5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5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5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5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5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5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5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5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5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5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5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5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5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5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5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5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5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5">
      <c r="A334" s="1">
        <v>45402</v>
      </c>
      <c r="B334" s="2">
        <v>45402.475493993057</v>
      </c>
      <c r="C334" t="s">
        <v>21</v>
      </c>
      <c r="E334">
        <v>35</v>
      </c>
      <c r="F334" t="s">
        <v>14</v>
      </c>
    </row>
    <row r="335" spans="1:6" x14ac:dyDescent="0.35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5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5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5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5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5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5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5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5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5">
      <c r="A344" s="1">
        <v>45402</v>
      </c>
      <c r="B344" s="2">
        <v>45402.713865381942</v>
      </c>
      <c r="C344" t="s">
        <v>21</v>
      </c>
      <c r="E344">
        <v>39</v>
      </c>
      <c r="F344" t="s">
        <v>18</v>
      </c>
    </row>
    <row r="345" spans="1:6" x14ac:dyDescent="0.35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5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5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5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5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5">
      <c r="A350" s="1">
        <v>45403</v>
      </c>
      <c r="B350" s="2">
        <v>45403.714620358798</v>
      </c>
      <c r="C350" t="s">
        <v>21</v>
      </c>
      <c r="E350">
        <v>39</v>
      </c>
      <c r="F350" t="s">
        <v>43</v>
      </c>
    </row>
    <row r="351" spans="1:6" x14ac:dyDescent="0.35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5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5">
      <c r="A353" s="1">
        <v>45404</v>
      </c>
      <c r="B353" s="2">
        <v>45404.778160000002</v>
      </c>
      <c r="C353" t="s">
        <v>21</v>
      </c>
      <c r="E353">
        <v>39</v>
      </c>
      <c r="F353" t="s">
        <v>7</v>
      </c>
    </row>
    <row r="354" spans="1:6" x14ac:dyDescent="0.35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5">
      <c r="A355" s="1">
        <v>45404</v>
      </c>
      <c r="B355" s="2">
        <v>45404.835059780089</v>
      </c>
      <c r="C355" t="s">
        <v>21</v>
      </c>
      <c r="E355">
        <v>39</v>
      </c>
      <c r="F355" t="s">
        <v>43</v>
      </c>
    </row>
    <row r="356" spans="1:6" x14ac:dyDescent="0.35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5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5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5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5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5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5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5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5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5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5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5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5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5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5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5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5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5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5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5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5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5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5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5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5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5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5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5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5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5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5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5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5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5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5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5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5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5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5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5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5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5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5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5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5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5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5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5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5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5">
      <c r="A405" s="1">
        <v>45414</v>
      </c>
      <c r="B405" s="2">
        <v>45414.479132870372</v>
      </c>
      <c r="C405" t="s">
        <v>21</v>
      </c>
      <c r="E405">
        <v>39</v>
      </c>
      <c r="F405" t="s">
        <v>7</v>
      </c>
    </row>
    <row r="406" spans="1:6" x14ac:dyDescent="0.35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5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5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5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5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5">
      <c r="A411" s="1">
        <v>45415</v>
      </c>
      <c r="B411" s="2">
        <v>45415.424923599538</v>
      </c>
      <c r="C411" t="s">
        <v>21</v>
      </c>
      <c r="E411">
        <v>39</v>
      </c>
      <c r="F411" t="s">
        <v>7</v>
      </c>
    </row>
    <row r="412" spans="1:6" x14ac:dyDescent="0.35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5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5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5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5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5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5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5">
      <c r="A419" s="1">
        <v>45418</v>
      </c>
      <c r="B419" s="2">
        <v>45418.482183333334</v>
      </c>
      <c r="C419" t="s">
        <v>21</v>
      </c>
      <c r="E419">
        <v>29</v>
      </c>
      <c r="F419" t="s">
        <v>11</v>
      </c>
    </row>
    <row r="420" spans="1:6" x14ac:dyDescent="0.35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5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5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5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5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5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5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5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5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5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5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5">
      <c r="A431" s="1">
        <v>45419</v>
      </c>
      <c r="B431" s="2">
        <v>45419.774736516207</v>
      </c>
      <c r="C431" t="s">
        <v>21</v>
      </c>
      <c r="E431">
        <v>34</v>
      </c>
      <c r="F431" t="s">
        <v>14</v>
      </c>
    </row>
    <row r="432" spans="1:6" x14ac:dyDescent="0.35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5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5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5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5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5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5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5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5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5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5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5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5">
      <c r="A444" s="1">
        <v>45422</v>
      </c>
      <c r="B444" s="2">
        <v>45422.423170972223</v>
      </c>
      <c r="C444" t="s">
        <v>21</v>
      </c>
      <c r="E444">
        <v>39</v>
      </c>
      <c r="F444" t="s">
        <v>7</v>
      </c>
    </row>
    <row r="445" spans="1:6" x14ac:dyDescent="0.35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5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5">
      <c r="A447" s="1">
        <v>45422</v>
      </c>
      <c r="B447" s="2">
        <v>45422.680730138891</v>
      </c>
      <c r="C447" t="s">
        <v>21</v>
      </c>
      <c r="E447">
        <v>34</v>
      </c>
      <c r="F447" t="s">
        <v>14</v>
      </c>
    </row>
    <row r="448" spans="1:6" x14ac:dyDescent="0.35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5">
      <c r="A449" s="1">
        <v>45423</v>
      </c>
      <c r="B449" s="2">
        <v>45423.710227407406</v>
      </c>
      <c r="C449" t="s">
        <v>21</v>
      </c>
      <c r="E449">
        <v>39</v>
      </c>
      <c r="F449" t="s">
        <v>7</v>
      </c>
    </row>
    <row r="450" spans="1:6" x14ac:dyDescent="0.35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5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5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5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5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5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5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5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5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5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5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5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5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5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5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5">
      <c r="A465" s="1">
        <v>45425</v>
      </c>
      <c r="B465" s="2">
        <v>45425.64665234954</v>
      </c>
      <c r="C465" t="s">
        <v>21</v>
      </c>
      <c r="E465">
        <v>29</v>
      </c>
      <c r="F465" t="s">
        <v>11</v>
      </c>
    </row>
    <row r="466" spans="1:6" x14ac:dyDescent="0.35">
      <c r="A466" s="1">
        <v>45425</v>
      </c>
      <c r="B466" s="2">
        <v>45425.647116979169</v>
      </c>
      <c r="C466" t="s">
        <v>21</v>
      </c>
      <c r="E466">
        <v>29</v>
      </c>
      <c r="F466" t="s">
        <v>11</v>
      </c>
    </row>
    <row r="467" spans="1:6" x14ac:dyDescent="0.35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5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5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5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5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5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5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5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5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5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5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5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5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5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5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5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5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5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5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5">
      <c r="A486" s="1">
        <v>45427</v>
      </c>
      <c r="B486" s="2">
        <v>45427.609847766202</v>
      </c>
      <c r="C486" t="s">
        <v>21</v>
      </c>
      <c r="E486">
        <v>29</v>
      </c>
      <c r="F486" t="s">
        <v>11</v>
      </c>
    </row>
    <row r="487" spans="1:6" x14ac:dyDescent="0.35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5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5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5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5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5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5">
      <c r="A493" s="1">
        <v>45428</v>
      </c>
      <c r="B493" s="2">
        <v>45428.488082002317</v>
      </c>
      <c r="C493" t="s">
        <v>21</v>
      </c>
      <c r="E493">
        <v>39</v>
      </c>
      <c r="F493" t="s">
        <v>7</v>
      </c>
    </row>
    <row r="494" spans="1:6" x14ac:dyDescent="0.35">
      <c r="A494" s="1">
        <v>45428</v>
      </c>
      <c r="B494" s="2">
        <v>45428.489129756941</v>
      </c>
      <c r="C494" t="s">
        <v>21</v>
      </c>
      <c r="E494">
        <v>39</v>
      </c>
      <c r="F494" t="s">
        <v>43</v>
      </c>
    </row>
    <row r="495" spans="1:6" x14ac:dyDescent="0.35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5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5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5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5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5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5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5">
      <c r="A502" s="1">
        <v>45429</v>
      </c>
      <c r="B502" s="2">
        <v>45429.623646527776</v>
      </c>
      <c r="C502" t="s">
        <v>21</v>
      </c>
      <c r="E502">
        <v>34</v>
      </c>
      <c r="F502" t="s">
        <v>14</v>
      </c>
    </row>
    <row r="503" spans="1:6" x14ac:dyDescent="0.35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5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5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5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5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5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5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5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5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5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5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5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5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5">
      <c r="A516" s="1">
        <v>45430</v>
      </c>
      <c r="B516" s="2">
        <v>45430.920456863423</v>
      </c>
      <c r="C516" t="s">
        <v>21</v>
      </c>
      <c r="E516">
        <v>39</v>
      </c>
      <c r="F516" t="s">
        <v>43</v>
      </c>
    </row>
    <row r="517" spans="1:6" x14ac:dyDescent="0.35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5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5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5">
      <c r="A520" s="1">
        <v>45431</v>
      </c>
      <c r="B520" s="2">
        <v>45431.395019942131</v>
      </c>
      <c r="C520" t="s">
        <v>21</v>
      </c>
      <c r="E520">
        <v>24</v>
      </c>
      <c r="F520" t="s">
        <v>35</v>
      </c>
    </row>
    <row r="521" spans="1:6" x14ac:dyDescent="0.35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5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5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5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5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5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5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5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5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5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5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5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5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5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5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5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5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5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5">
      <c r="A539" s="1">
        <v>45432</v>
      </c>
      <c r="B539" s="2">
        <v>45432.605801527781</v>
      </c>
      <c r="C539" t="s">
        <v>21</v>
      </c>
      <c r="E539">
        <v>29</v>
      </c>
      <c r="F539" t="s">
        <v>11</v>
      </c>
    </row>
    <row r="540" spans="1:6" x14ac:dyDescent="0.35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5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5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5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5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5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5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5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5">
      <c r="A548" s="1">
        <v>45433</v>
      </c>
      <c r="B548" s="2">
        <v>45433.405447800928</v>
      </c>
      <c r="C548" t="s">
        <v>21</v>
      </c>
      <c r="E548">
        <v>29</v>
      </c>
      <c r="F548" t="s">
        <v>11</v>
      </c>
    </row>
    <row r="549" spans="1:6" x14ac:dyDescent="0.35">
      <c r="A549" s="1">
        <v>45433</v>
      </c>
      <c r="B549" s="2">
        <v>45433.40602209491</v>
      </c>
      <c r="C549" t="s">
        <v>21</v>
      </c>
      <c r="E549">
        <v>34</v>
      </c>
      <c r="F549" t="s">
        <v>14</v>
      </c>
    </row>
    <row r="550" spans="1:6" x14ac:dyDescent="0.35">
      <c r="A550" s="1">
        <v>45433</v>
      </c>
      <c r="B550" s="2">
        <v>45433.407053587965</v>
      </c>
      <c r="C550" t="s">
        <v>21</v>
      </c>
      <c r="E550">
        <v>39</v>
      </c>
      <c r="F550" t="s">
        <v>18</v>
      </c>
    </row>
    <row r="551" spans="1:6" x14ac:dyDescent="0.35">
      <c r="A551" s="1">
        <v>45433</v>
      </c>
      <c r="B551" s="2">
        <v>45433.420231863427</v>
      </c>
      <c r="C551" t="s">
        <v>21</v>
      </c>
      <c r="E551">
        <v>39</v>
      </c>
      <c r="F551" t="s">
        <v>7</v>
      </c>
    </row>
    <row r="552" spans="1:6" x14ac:dyDescent="0.35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5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5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5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5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5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5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5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5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5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5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5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5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5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5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5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5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5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5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5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5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5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5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5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5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5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5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5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5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5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5">
      <c r="A582" s="1">
        <v>45435</v>
      </c>
      <c r="B582" s="2">
        <v>45435.955288495374</v>
      </c>
      <c r="C582" t="s">
        <v>21</v>
      </c>
      <c r="E582">
        <v>39</v>
      </c>
      <c r="F582" t="s">
        <v>9</v>
      </c>
    </row>
    <row r="583" spans="1:6" x14ac:dyDescent="0.35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5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5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5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5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5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5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5">
      <c r="A590" s="1">
        <v>45437</v>
      </c>
      <c r="B590" s="2">
        <v>45437.320125208331</v>
      </c>
      <c r="C590" t="s">
        <v>21</v>
      </c>
      <c r="E590">
        <v>29</v>
      </c>
      <c r="F590" t="s">
        <v>11</v>
      </c>
    </row>
    <row r="591" spans="1:6" x14ac:dyDescent="0.35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5">
      <c r="A592" s="1">
        <v>45437</v>
      </c>
      <c r="B592" s="2">
        <v>45437.528050775465</v>
      </c>
      <c r="C592" t="s">
        <v>21</v>
      </c>
      <c r="E592">
        <v>29</v>
      </c>
      <c r="F592" t="s">
        <v>11</v>
      </c>
    </row>
    <row r="593" spans="1:6" x14ac:dyDescent="0.35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5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5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5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5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5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5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5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5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5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5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5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5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5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5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5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5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5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5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5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5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5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5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5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5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5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5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5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5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5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5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5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5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5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5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5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5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5">
      <c r="A630" s="1">
        <v>45440</v>
      </c>
      <c r="B630" s="2">
        <v>45440.723425543983</v>
      </c>
      <c r="C630" t="s">
        <v>21</v>
      </c>
      <c r="E630">
        <v>39</v>
      </c>
      <c r="F630" t="s">
        <v>43</v>
      </c>
    </row>
    <row r="631" spans="1:6" x14ac:dyDescent="0.35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5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5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5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5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5">
      <c r="A636" s="1">
        <v>45441</v>
      </c>
      <c r="B636" s="2">
        <v>45441.450541446757</v>
      </c>
      <c r="C636" t="s">
        <v>21</v>
      </c>
      <c r="E636">
        <v>39</v>
      </c>
      <c r="F636" t="s">
        <v>7</v>
      </c>
    </row>
    <row r="637" spans="1:6" x14ac:dyDescent="0.35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5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5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5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5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5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5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5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5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5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5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5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5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5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5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5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5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5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5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5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5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5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5">
      <c r="A659" s="1">
        <v>45443</v>
      </c>
      <c r="B659" s="2">
        <v>45443.391652673614</v>
      </c>
      <c r="C659" t="s">
        <v>21</v>
      </c>
      <c r="E659">
        <v>39</v>
      </c>
      <c r="F659" t="s">
        <v>7</v>
      </c>
    </row>
    <row r="660" spans="1:6" x14ac:dyDescent="0.35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5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5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5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5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5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5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5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5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5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5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5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5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5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5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5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5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5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5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5">
      <c r="A679" s="1">
        <v>45444</v>
      </c>
      <c r="B679" s="2">
        <v>45444.871519293978</v>
      </c>
      <c r="C679" t="s">
        <v>21</v>
      </c>
      <c r="E679">
        <v>39</v>
      </c>
      <c r="F679" t="s">
        <v>18</v>
      </c>
    </row>
    <row r="680" spans="1:6" x14ac:dyDescent="0.35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5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5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5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5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5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5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5">
      <c r="A687" s="1">
        <v>45445</v>
      </c>
      <c r="B687" s="2">
        <v>45445.946650879632</v>
      </c>
      <c r="C687" t="s">
        <v>21</v>
      </c>
      <c r="E687">
        <v>34</v>
      </c>
      <c r="F687" t="s">
        <v>14</v>
      </c>
    </row>
    <row r="688" spans="1:6" x14ac:dyDescent="0.35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5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5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5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5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5">
      <c r="A693" s="1">
        <v>45446</v>
      </c>
      <c r="B693" s="2">
        <v>45446.904765439816</v>
      </c>
      <c r="C693" t="s">
        <v>21</v>
      </c>
      <c r="E693">
        <v>34</v>
      </c>
      <c r="F693" t="s">
        <v>14</v>
      </c>
    </row>
    <row r="694" spans="1:6" x14ac:dyDescent="0.35">
      <c r="A694" s="1">
        <v>45446</v>
      </c>
      <c r="B694" s="2">
        <v>45446.90529480324</v>
      </c>
      <c r="C694" t="s">
        <v>21</v>
      </c>
      <c r="E694">
        <v>34</v>
      </c>
      <c r="F694" t="s">
        <v>14</v>
      </c>
    </row>
    <row r="695" spans="1:6" x14ac:dyDescent="0.35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5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5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5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5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5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5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5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5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5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5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5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5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5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5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5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5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5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5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5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5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5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5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5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5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5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5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5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5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5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5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5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5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5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5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5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5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5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5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5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5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5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5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5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5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5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5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5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5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5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5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5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5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5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5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5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5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5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5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5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5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5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5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5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5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5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5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5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5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5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5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5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5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5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5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5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5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5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5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5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5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5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5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5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5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5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5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5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5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5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5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5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5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5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5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5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5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5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5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5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5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5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5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5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5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5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5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5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5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5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5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5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5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5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5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5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5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5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5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5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5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5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5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5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5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5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5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5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5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5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5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5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5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5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5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5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5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5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5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5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5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5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5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5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5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5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5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5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5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5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5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5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5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5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5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5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5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5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5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5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5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5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5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5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5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5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5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5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5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5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5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5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5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5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5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5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5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5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5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5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5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5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5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5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5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5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5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5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5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5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5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5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5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5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5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5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5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5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5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5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5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5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5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5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5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5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5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5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5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5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5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5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5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5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5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5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5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5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5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5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5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5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5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5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5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5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5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5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5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5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5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5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5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5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5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5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5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5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5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5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5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5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5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5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5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5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5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5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5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5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5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5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5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5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5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5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5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5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5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5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5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5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5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5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5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5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5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5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5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5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5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5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5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5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5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5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5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5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5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5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5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5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5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5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5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5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5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5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5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5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5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5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5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5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5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5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5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5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5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5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5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5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5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5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5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5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5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5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5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5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5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5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5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5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5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5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5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5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5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5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5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5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5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5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5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5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5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5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5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5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5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5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5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5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5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5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5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5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5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5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5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5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5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5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5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5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5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5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5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5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5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5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5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5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5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5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5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5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5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5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5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5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5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5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5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5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5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5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5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5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5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5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5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5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5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5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5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5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5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5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5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5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5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5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5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5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5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5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5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5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5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5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5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5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5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5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5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5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5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5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5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5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5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5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5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5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5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5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5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5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5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5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5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5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5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5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5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5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5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5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5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5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5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5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5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5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5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5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5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5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5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5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5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5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5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5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5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5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5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5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</sheetData>
  <sheetProtection algorithmName="SHA-512" hashValue="hFLuI60jQ83aAVSW6uOFx1rr0YHtmELoOYAs8t6BoHNKRcwST0YnmhpRkqS1e1XsgKq1e1JU5eXhD+HGluZqiQ==" saltValue="yE2AsQ8IonnfSasnkJrk5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577E-BFB9-4F12-A067-78C2A40A5D35}">
  <dimension ref="A1:N1134"/>
  <sheetViews>
    <sheetView topLeftCell="A1118" workbookViewId="0">
      <selection activeCell="E2" sqref="E2:E1134"/>
    </sheetView>
  </sheetViews>
  <sheetFormatPr defaultRowHeight="14.5" x14ac:dyDescent="0.35"/>
  <cols>
    <col min="1" max="1" width="10.08984375" bestFit="1" customWidth="1"/>
    <col min="2" max="2" width="10.08984375" customWidth="1"/>
    <col min="3" max="3" width="10.90625" bestFit="1" customWidth="1"/>
    <col min="4" max="4" width="10.7265625" bestFit="1" customWidth="1"/>
    <col min="5" max="5" width="8.26953125" customWidth="1"/>
    <col min="6" max="6" width="9.1796875" bestFit="1" customWidth="1"/>
    <col min="7" max="7" width="20" bestFit="1" customWidth="1"/>
    <col min="8" max="8" width="6.54296875" bestFit="1" customWidth="1"/>
    <col min="9" max="9" width="18.08984375" bestFit="1" customWidth="1"/>
    <col min="11" max="11" width="10.453125" bestFit="1" customWidth="1"/>
    <col min="12" max="12" width="10.08984375" bestFit="1" customWidth="1"/>
  </cols>
  <sheetData>
    <row r="1" spans="1:14" x14ac:dyDescent="0.35">
      <c r="A1" s="3" t="s">
        <v>0</v>
      </c>
      <c r="B1" s="3" t="s">
        <v>657</v>
      </c>
      <c r="C1" s="3" t="s">
        <v>461</v>
      </c>
      <c r="D1" s="3" t="s">
        <v>1</v>
      </c>
      <c r="E1" s="3" t="s">
        <v>462</v>
      </c>
      <c r="F1" s="3" t="s">
        <v>2</v>
      </c>
      <c r="G1" s="3" t="s">
        <v>3</v>
      </c>
      <c r="H1" s="3" t="s">
        <v>4</v>
      </c>
      <c r="I1" s="3" t="s">
        <v>5</v>
      </c>
    </row>
    <row r="2" spans="1:14" x14ac:dyDescent="0.35">
      <c r="A2" s="34">
        <v>45352</v>
      </c>
      <c r="B2" s="34" t="str">
        <f>TEXT(A2, "mmmm")</f>
        <v>March</v>
      </c>
      <c r="C2" s="4" t="str">
        <f t="shared" ref="C2:C65" si="0">TEXT(A2,"ddddddddd")</f>
        <v>Friday</v>
      </c>
      <c r="D2" s="5">
        <v>45352.427668055556</v>
      </c>
      <c r="E2" s="6" t="str" cm="1">
        <f t="array" ref="E2">_xlfn.IFS(HOUR(D2)&gt;=20,"20-24 ",HOUR(D2)&gt;=16,"16-20",HOUR(D2)&gt;=12,"12-16",HOUR(D2)&lt;12,"7-12")</f>
        <v>7-12</v>
      </c>
      <c r="F2" s="6" t="s">
        <v>3</v>
      </c>
      <c r="G2" s="6" t="s">
        <v>6</v>
      </c>
      <c r="H2" s="6">
        <v>38.700000000000003</v>
      </c>
      <c r="I2" s="6" t="s">
        <v>7</v>
      </c>
      <c r="K2" t="str">
        <f>TEXT(A2,"dd/mm/yyyy")</f>
        <v>01/03/2024</v>
      </c>
      <c r="L2" s="1">
        <f>DATEVALUE(K2)</f>
        <v>45352</v>
      </c>
      <c r="M2" t="str">
        <f>TEXT(L2,"mmmm")</f>
        <v>March</v>
      </c>
      <c r="N2" t="str">
        <f>TEXT(A2,"mmmm")</f>
        <v>March</v>
      </c>
    </row>
    <row r="3" spans="1:14" x14ac:dyDescent="0.35">
      <c r="A3" s="34">
        <v>45352</v>
      </c>
      <c r="B3" s="34" t="str">
        <f t="shared" ref="B3:B66" si="1">TEXT(A3, "mmmm")</f>
        <v>March</v>
      </c>
      <c r="C3" s="4" t="str">
        <f t="shared" si="0"/>
        <v>Friday</v>
      </c>
      <c r="D3" s="5">
        <v>45352.513455312503</v>
      </c>
      <c r="E3" s="6" t="str" cm="1">
        <f t="array" ref="E3">_xlfn.IFS(HOUR(D3)&gt;=20,"20-24 ",HOUR(D3)&gt;=16,"16-20",HOUR(D3)&gt;=12,"12-16",HOUR(D3)&lt;12,"7-12")</f>
        <v>12-16</v>
      </c>
      <c r="F3" s="6" t="s">
        <v>3</v>
      </c>
      <c r="G3" s="6" t="s">
        <v>8</v>
      </c>
      <c r="H3" s="6">
        <v>38.700000000000003</v>
      </c>
      <c r="I3" s="6" t="s">
        <v>9</v>
      </c>
    </row>
    <row r="4" spans="1:14" x14ac:dyDescent="0.35">
      <c r="A4" s="34">
        <v>45352</v>
      </c>
      <c r="B4" s="34" t="str">
        <f t="shared" si="1"/>
        <v>March</v>
      </c>
      <c r="C4" s="4" t="str">
        <f t="shared" si="0"/>
        <v>Friday</v>
      </c>
      <c r="D4" s="5">
        <v>45352.514098252315</v>
      </c>
      <c r="E4" s="6" t="str" cm="1">
        <f t="array" ref="E4">_xlfn.IFS(HOUR(D4)&gt;=20,"20-24 ",HOUR(D4)&gt;=16,"16-20",HOUR(D4)&gt;=12,"12-16",HOUR(D4)&lt;12,"7-12")</f>
        <v>12-16</v>
      </c>
      <c r="F4" s="6" t="s">
        <v>3</v>
      </c>
      <c r="G4" s="6" t="s">
        <v>8</v>
      </c>
      <c r="H4" s="6">
        <v>38.700000000000003</v>
      </c>
      <c r="I4" s="6" t="s">
        <v>9</v>
      </c>
    </row>
    <row r="5" spans="1:14" x14ac:dyDescent="0.35">
      <c r="A5" s="34">
        <v>45352</v>
      </c>
      <c r="B5" s="34" t="str">
        <f t="shared" si="1"/>
        <v>March</v>
      </c>
      <c r="C5" s="4" t="str">
        <f t="shared" si="0"/>
        <v>Friday</v>
      </c>
      <c r="D5" s="5">
        <v>45352.573993124999</v>
      </c>
      <c r="E5" s="6" t="str" cm="1">
        <f t="array" ref="E5">_xlfn.IFS(HOUR(D5)&gt;=20,"20-24 ",HOUR(D5)&gt;=16,"16-20",HOUR(D5)&gt;=12,"12-16",HOUR(D5)&lt;12,"7-12")</f>
        <v>12-16</v>
      </c>
      <c r="F5" s="6" t="s">
        <v>3</v>
      </c>
      <c r="G5" s="6" t="s">
        <v>10</v>
      </c>
      <c r="H5" s="6">
        <v>28.9</v>
      </c>
      <c r="I5" s="6" t="s">
        <v>11</v>
      </c>
    </row>
    <row r="6" spans="1:14" x14ac:dyDescent="0.35">
      <c r="A6" s="34">
        <v>45352</v>
      </c>
      <c r="B6" s="34" t="str">
        <f t="shared" si="1"/>
        <v>March</v>
      </c>
      <c r="C6" s="4" t="str">
        <f t="shared" si="0"/>
        <v>Friday</v>
      </c>
      <c r="D6" s="5">
        <v>45352.575169282405</v>
      </c>
      <c r="E6" s="6" t="str" cm="1">
        <f t="array" ref="E6">_xlfn.IFS(HOUR(D6)&gt;=20,"20-24 ",HOUR(D6)&gt;=16,"16-20",HOUR(D6)&gt;=12,"12-16",HOUR(D6)&lt;12,"7-12")</f>
        <v>12-16</v>
      </c>
      <c r="F6" s="6" t="s">
        <v>3</v>
      </c>
      <c r="G6" s="6" t="s">
        <v>12</v>
      </c>
      <c r="H6" s="6">
        <v>38.700000000000003</v>
      </c>
      <c r="I6" s="6" t="s">
        <v>7</v>
      </c>
    </row>
    <row r="7" spans="1:14" x14ac:dyDescent="0.35">
      <c r="A7" s="34">
        <v>45352</v>
      </c>
      <c r="B7" s="34" t="str">
        <f t="shared" si="1"/>
        <v>March</v>
      </c>
      <c r="C7" s="4" t="str">
        <f t="shared" si="0"/>
        <v>Friday</v>
      </c>
      <c r="D7" s="5">
        <v>45352.65263571759</v>
      </c>
      <c r="E7" s="6" t="str" cm="1">
        <f t="array" ref="E7">_xlfn.IFS(HOUR(D7)&gt;=20,"20-24 ",HOUR(D7)&gt;=16,"16-20",HOUR(D7)&gt;=12,"12-16",HOUR(D7)&lt;12,"7-12")</f>
        <v>12-16</v>
      </c>
      <c r="F7" s="6" t="s">
        <v>3</v>
      </c>
      <c r="G7" s="6" t="s">
        <v>13</v>
      </c>
      <c r="H7" s="6">
        <v>33.799999999999997</v>
      </c>
      <c r="I7" s="6" t="s">
        <v>14</v>
      </c>
    </row>
    <row r="8" spans="1:14" x14ac:dyDescent="0.35">
      <c r="A8" s="34">
        <v>45352</v>
      </c>
      <c r="B8" s="34" t="str">
        <f t="shared" si="1"/>
        <v>March</v>
      </c>
      <c r="C8" s="4" t="str">
        <f t="shared" si="0"/>
        <v>Friday</v>
      </c>
      <c r="D8" s="5">
        <v>45352.679893009263</v>
      </c>
      <c r="E8" s="6" t="str" cm="1">
        <f t="array" ref="E8">_xlfn.IFS(HOUR(D8)&gt;=20,"20-24 ",HOUR(D8)&gt;=16,"16-20",HOUR(D8)&gt;=12,"12-16",HOUR(D8)&lt;12,"7-12")</f>
        <v>16-20</v>
      </c>
      <c r="F8" s="6" t="s">
        <v>3</v>
      </c>
      <c r="G8" s="6" t="s">
        <v>15</v>
      </c>
      <c r="H8" s="6">
        <v>38.700000000000003</v>
      </c>
      <c r="I8" s="6" t="s">
        <v>9</v>
      </c>
    </row>
    <row r="9" spans="1:14" x14ac:dyDescent="0.35">
      <c r="A9" s="34">
        <v>45352</v>
      </c>
      <c r="B9" s="34" t="str">
        <f t="shared" si="1"/>
        <v>March</v>
      </c>
      <c r="C9" s="4" t="str">
        <f t="shared" si="0"/>
        <v>Friday</v>
      </c>
      <c r="D9" s="5">
        <v>45352.777124768516</v>
      </c>
      <c r="E9" s="6" t="str" cm="1">
        <f t="array" ref="E9">_xlfn.IFS(HOUR(D9)&gt;=20,"20-24 ",HOUR(D9)&gt;=16,"16-20",HOUR(D9)&gt;=12,"12-16",HOUR(D9)&lt;12,"7-12")</f>
        <v>16-20</v>
      </c>
      <c r="F9" s="6" t="s">
        <v>3</v>
      </c>
      <c r="G9" s="6" t="s">
        <v>16</v>
      </c>
      <c r="H9" s="6">
        <v>33.799999999999997</v>
      </c>
      <c r="I9" s="6" t="s">
        <v>14</v>
      </c>
    </row>
    <row r="10" spans="1:14" x14ac:dyDescent="0.35">
      <c r="A10" s="34">
        <v>45352</v>
      </c>
      <c r="B10" s="34" t="str">
        <f t="shared" si="1"/>
        <v>March</v>
      </c>
      <c r="C10" s="4" t="str">
        <f t="shared" si="0"/>
        <v>Friday</v>
      </c>
      <c r="D10" s="5">
        <v>45352.806964837961</v>
      </c>
      <c r="E10" s="6" t="str" cm="1">
        <f t="array" ref="E10">_xlfn.IFS(HOUR(D10)&gt;=20,"20-24 ",HOUR(D10)&gt;=16,"16-20",HOUR(D10)&gt;=12,"12-16",HOUR(D10)&lt;12,"7-12")</f>
        <v>16-20</v>
      </c>
      <c r="F10" s="6" t="s">
        <v>3</v>
      </c>
      <c r="G10" s="6" t="s">
        <v>17</v>
      </c>
      <c r="H10" s="6">
        <v>38.700000000000003</v>
      </c>
      <c r="I10" s="6" t="s">
        <v>18</v>
      </c>
    </row>
    <row r="11" spans="1:14" x14ac:dyDescent="0.35">
      <c r="A11" s="34">
        <v>45352</v>
      </c>
      <c r="B11" s="34" t="str">
        <f t="shared" si="1"/>
        <v>March</v>
      </c>
      <c r="C11" s="4" t="str">
        <f t="shared" si="0"/>
        <v>Friday</v>
      </c>
      <c r="D11" s="5">
        <v>45352.807822766204</v>
      </c>
      <c r="E11" s="6" t="str" cm="1">
        <f t="array" ref="E11">_xlfn.IFS(HOUR(D11)&gt;=20,"20-24 ",HOUR(D11)&gt;=16,"16-20",HOUR(D11)&gt;=12,"12-16",HOUR(D11)&lt;12,"7-12")</f>
        <v>16-20</v>
      </c>
      <c r="F11" s="6" t="s">
        <v>3</v>
      </c>
      <c r="G11" s="6" t="s">
        <v>17</v>
      </c>
      <c r="H11" s="6">
        <v>33.799999999999997</v>
      </c>
      <c r="I11" s="6" t="s">
        <v>14</v>
      </c>
    </row>
    <row r="12" spans="1:14" x14ac:dyDescent="0.35">
      <c r="A12" s="34">
        <v>45352</v>
      </c>
      <c r="B12" s="34" t="str">
        <f t="shared" si="1"/>
        <v>March</v>
      </c>
      <c r="C12" s="4" t="str">
        <f t="shared" si="0"/>
        <v>Friday</v>
      </c>
      <c r="D12" s="5">
        <v>45352.812006840279</v>
      </c>
      <c r="E12" s="6" t="str" cm="1">
        <f t="array" ref="E12">_xlfn.IFS(HOUR(D12)&gt;=20,"20-24 ",HOUR(D12)&gt;=16,"16-20",HOUR(D12)&gt;=12,"12-16",HOUR(D12)&lt;12,"7-12")</f>
        <v>16-20</v>
      </c>
      <c r="F12" s="6" t="s">
        <v>3</v>
      </c>
      <c r="G12" s="6" t="s">
        <v>19</v>
      </c>
      <c r="H12" s="6">
        <v>33.799999999999997</v>
      </c>
      <c r="I12" s="6" t="s">
        <v>14</v>
      </c>
    </row>
    <row r="13" spans="1:14" x14ac:dyDescent="0.35">
      <c r="A13" s="34">
        <v>45353</v>
      </c>
      <c r="B13" s="34" t="str">
        <f t="shared" si="1"/>
        <v>March</v>
      </c>
      <c r="C13" s="4" t="str">
        <f t="shared" si="0"/>
        <v>Saturday</v>
      </c>
      <c r="D13" s="5">
        <v>45353.432024965281</v>
      </c>
      <c r="E13" s="6" t="str" cm="1">
        <f t="array" ref="E13">_xlfn.IFS(HOUR(D13)&gt;=20,"20-24 ",HOUR(D13)&gt;=16,"16-20",HOUR(D13)&gt;=12,"12-16",HOUR(D13)&lt;12,"7-12")</f>
        <v>7-12</v>
      </c>
      <c r="F13" s="6" t="s">
        <v>3</v>
      </c>
      <c r="G13" s="6" t="s">
        <v>20</v>
      </c>
      <c r="H13" s="6">
        <v>28.9</v>
      </c>
      <c r="I13" s="6" t="s">
        <v>11</v>
      </c>
    </row>
    <row r="14" spans="1:14" x14ac:dyDescent="0.35">
      <c r="A14" s="34">
        <v>45353</v>
      </c>
      <c r="B14" s="34" t="str">
        <f t="shared" si="1"/>
        <v>March</v>
      </c>
      <c r="C14" s="4" t="str">
        <f t="shared" si="0"/>
        <v>Saturday</v>
      </c>
      <c r="D14" s="5">
        <v>45353.437912824076</v>
      </c>
      <c r="E14" s="6" t="str" cm="1">
        <f t="array" ref="E14">_xlfn.IFS(HOUR(D14)&gt;=20,"20-24 ",HOUR(D14)&gt;=16,"16-20",HOUR(D14)&gt;=12,"12-16",HOUR(D14)&lt;12,"7-12")</f>
        <v>7-12</v>
      </c>
      <c r="F14" s="6" t="s">
        <v>21</v>
      </c>
      <c r="G14" s="6" t="s">
        <v>463</v>
      </c>
      <c r="H14" s="6">
        <v>40</v>
      </c>
      <c r="I14" s="6" t="s">
        <v>7</v>
      </c>
    </row>
    <row r="15" spans="1:14" x14ac:dyDescent="0.35">
      <c r="A15" s="34">
        <v>45353</v>
      </c>
      <c r="B15" s="34" t="str">
        <f t="shared" si="1"/>
        <v>March</v>
      </c>
      <c r="C15" s="4" t="str">
        <f t="shared" si="0"/>
        <v>Saturday</v>
      </c>
      <c r="D15" s="5">
        <v>45353.445616307872</v>
      </c>
      <c r="E15" s="6" t="str" cm="1">
        <f t="array" ref="E15">_xlfn.IFS(HOUR(D15)&gt;=20,"20-24 ",HOUR(D15)&gt;=16,"16-20",HOUR(D15)&gt;=12,"12-16",HOUR(D15)&lt;12,"7-12")</f>
        <v>7-12</v>
      </c>
      <c r="F15" s="6" t="s">
        <v>3</v>
      </c>
      <c r="G15" s="6" t="s">
        <v>22</v>
      </c>
      <c r="H15" s="6">
        <v>33.799999999999997</v>
      </c>
      <c r="I15" s="6" t="s">
        <v>14</v>
      </c>
    </row>
    <row r="16" spans="1:14" x14ac:dyDescent="0.35">
      <c r="A16" s="34">
        <v>45353</v>
      </c>
      <c r="B16" s="34" t="str">
        <f t="shared" si="1"/>
        <v>March</v>
      </c>
      <c r="C16" s="4" t="str">
        <f t="shared" si="0"/>
        <v>Saturday</v>
      </c>
      <c r="D16" s="5">
        <v>45353.499831990739</v>
      </c>
      <c r="E16" s="6" t="str" cm="1">
        <f t="array" ref="E16">_xlfn.IFS(HOUR(D16)&gt;=20,"20-24 ",HOUR(D16)&gt;=16,"16-20",HOUR(D16)&gt;=12,"12-16",HOUR(D16)&lt;12,"7-12")</f>
        <v>7-12</v>
      </c>
      <c r="F16" s="6" t="s">
        <v>3</v>
      </c>
      <c r="G16" s="6" t="s">
        <v>23</v>
      </c>
      <c r="H16" s="6">
        <v>33.799999999999997</v>
      </c>
      <c r="I16" s="6" t="s">
        <v>14</v>
      </c>
    </row>
    <row r="17" spans="1:9" x14ac:dyDescent="0.35">
      <c r="A17" s="34">
        <v>45353</v>
      </c>
      <c r="B17" s="34" t="str">
        <f t="shared" si="1"/>
        <v>March</v>
      </c>
      <c r="C17" s="4" t="str">
        <f t="shared" si="0"/>
        <v>Saturday</v>
      </c>
      <c r="D17" s="5">
        <v>45353.610133506947</v>
      </c>
      <c r="E17" s="6" t="str" cm="1">
        <f t="array" ref="E17">_xlfn.IFS(HOUR(D17)&gt;=20,"20-24 ",HOUR(D17)&gt;=16,"16-20",HOUR(D17)&gt;=12,"12-16",HOUR(D17)&lt;12,"7-12")</f>
        <v>12-16</v>
      </c>
      <c r="F17" s="6" t="s">
        <v>3</v>
      </c>
      <c r="G17" s="6" t="s">
        <v>24</v>
      </c>
      <c r="H17" s="6">
        <v>28.9</v>
      </c>
      <c r="I17" s="6" t="s">
        <v>11</v>
      </c>
    </row>
    <row r="18" spans="1:9" x14ac:dyDescent="0.35">
      <c r="A18" s="34">
        <v>45353</v>
      </c>
      <c r="B18" s="34" t="str">
        <f t="shared" si="1"/>
        <v>March</v>
      </c>
      <c r="C18" s="4" t="str">
        <f t="shared" si="0"/>
        <v>Saturday</v>
      </c>
      <c r="D18" s="5">
        <v>45353.692644386574</v>
      </c>
      <c r="E18" s="6" t="str" cm="1">
        <f t="array" ref="E18">_xlfn.IFS(HOUR(D18)&gt;=20,"20-24 ",HOUR(D18)&gt;=16,"16-20",HOUR(D18)&gt;=12,"12-16",HOUR(D18)&lt;12,"7-12")</f>
        <v>16-20</v>
      </c>
      <c r="F18" s="6" t="s">
        <v>3</v>
      </c>
      <c r="G18" s="6" t="s">
        <v>25</v>
      </c>
      <c r="H18" s="6">
        <v>33.799999999999997</v>
      </c>
      <c r="I18" s="6" t="s">
        <v>14</v>
      </c>
    </row>
    <row r="19" spans="1:9" x14ac:dyDescent="0.35">
      <c r="A19" s="34">
        <v>45353</v>
      </c>
      <c r="B19" s="34" t="str">
        <f t="shared" si="1"/>
        <v>March</v>
      </c>
      <c r="C19" s="4" t="str">
        <f t="shared" si="0"/>
        <v>Saturday</v>
      </c>
      <c r="D19" s="5">
        <v>45353.732580659722</v>
      </c>
      <c r="E19" s="6" t="str" cm="1">
        <f t="array" ref="E19">_xlfn.IFS(HOUR(D19)&gt;=20,"20-24 ",HOUR(D19)&gt;=16,"16-20",HOUR(D19)&gt;=12,"12-16",HOUR(D19)&lt;12,"7-12")</f>
        <v>16-20</v>
      </c>
      <c r="F19" s="6" t="s">
        <v>3</v>
      </c>
      <c r="G19" s="6" t="s">
        <v>12</v>
      </c>
      <c r="H19" s="6">
        <v>28.9</v>
      </c>
      <c r="I19" s="6" t="s">
        <v>11</v>
      </c>
    </row>
    <row r="20" spans="1:9" x14ac:dyDescent="0.35">
      <c r="A20" s="34">
        <v>45354</v>
      </c>
      <c r="B20" s="34" t="str">
        <f t="shared" si="1"/>
        <v>March</v>
      </c>
      <c r="C20" s="4" t="str">
        <f t="shared" si="0"/>
        <v>Sunday</v>
      </c>
      <c r="D20" s="5">
        <v>45354.424120150463</v>
      </c>
      <c r="E20" s="6" t="str" cm="1">
        <f t="array" ref="E20">_xlfn.IFS(HOUR(D20)&gt;=20,"20-24 ",HOUR(D20)&gt;=16,"16-20",HOUR(D20)&gt;=12,"12-16",HOUR(D20)&lt;12,"7-12")</f>
        <v>7-12</v>
      </c>
      <c r="F20" s="6" t="s">
        <v>21</v>
      </c>
      <c r="G20" s="6" t="s">
        <v>463</v>
      </c>
      <c r="H20" s="6">
        <v>40</v>
      </c>
      <c r="I20" s="6" t="s">
        <v>7</v>
      </c>
    </row>
    <row r="21" spans="1:9" x14ac:dyDescent="0.35">
      <c r="A21" s="34">
        <v>45354</v>
      </c>
      <c r="B21" s="34" t="str">
        <f t="shared" si="1"/>
        <v>March</v>
      </c>
      <c r="C21" s="4" t="str">
        <f t="shared" si="0"/>
        <v>Sunday</v>
      </c>
      <c r="D21" s="5">
        <v>45354.435631493056</v>
      </c>
      <c r="E21" s="6" t="str" cm="1">
        <f t="array" ref="E21">_xlfn.IFS(HOUR(D21)&gt;=20,"20-24 ",HOUR(D21)&gt;=16,"16-20",HOUR(D21)&gt;=12,"12-16",HOUR(D21)&lt;12,"7-12")</f>
        <v>7-12</v>
      </c>
      <c r="F21" s="6" t="s">
        <v>3</v>
      </c>
      <c r="G21" s="6" t="s">
        <v>26</v>
      </c>
      <c r="H21" s="6">
        <v>38.700000000000003</v>
      </c>
      <c r="I21" s="6" t="s">
        <v>7</v>
      </c>
    </row>
    <row r="22" spans="1:9" x14ac:dyDescent="0.35">
      <c r="A22" s="34">
        <v>45354</v>
      </c>
      <c r="B22" s="34" t="str">
        <f t="shared" si="1"/>
        <v>March</v>
      </c>
      <c r="C22" s="4" t="str">
        <f t="shared" si="0"/>
        <v>Sunday</v>
      </c>
      <c r="D22" s="5">
        <v>45354.481899513892</v>
      </c>
      <c r="E22" s="6" t="str" cm="1">
        <f t="array" ref="E22">_xlfn.IFS(HOUR(D22)&gt;=20,"20-24 ",HOUR(D22)&gt;=16,"16-20",HOUR(D22)&gt;=12,"12-16",HOUR(D22)&lt;12,"7-12")</f>
        <v>7-12</v>
      </c>
      <c r="F22" s="6" t="s">
        <v>3</v>
      </c>
      <c r="G22" s="6" t="s">
        <v>27</v>
      </c>
      <c r="H22" s="6">
        <v>28.9</v>
      </c>
      <c r="I22" s="6" t="s">
        <v>28</v>
      </c>
    </row>
    <row r="23" spans="1:9" x14ac:dyDescent="0.35">
      <c r="A23" s="34">
        <v>45354</v>
      </c>
      <c r="B23" s="34" t="str">
        <f t="shared" si="1"/>
        <v>March</v>
      </c>
      <c r="C23" s="4" t="str">
        <f t="shared" si="0"/>
        <v>Sunday</v>
      </c>
      <c r="D23" s="5">
        <v>45354.518704837959</v>
      </c>
      <c r="E23" s="6" t="str" cm="1">
        <f t="array" ref="E23">_xlfn.IFS(HOUR(D23)&gt;=20,"20-24 ",HOUR(D23)&gt;=16,"16-20",HOUR(D23)&gt;=12,"12-16",HOUR(D23)&lt;12,"7-12")</f>
        <v>12-16</v>
      </c>
      <c r="F23" s="6" t="s">
        <v>3</v>
      </c>
      <c r="G23" s="6" t="s">
        <v>23</v>
      </c>
      <c r="H23" s="6">
        <v>28.9</v>
      </c>
      <c r="I23" s="6" t="s">
        <v>11</v>
      </c>
    </row>
    <row r="24" spans="1:9" x14ac:dyDescent="0.35">
      <c r="A24" s="34">
        <v>45354</v>
      </c>
      <c r="B24" s="34" t="str">
        <f t="shared" si="1"/>
        <v>March</v>
      </c>
      <c r="C24" s="4" t="str">
        <f t="shared" si="0"/>
        <v>Sunday</v>
      </c>
      <c r="D24" s="5">
        <v>45354.548337048611</v>
      </c>
      <c r="E24" s="6" t="str" cm="1">
        <f t="array" ref="E24">_xlfn.IFS(HOUR(D24)&gt;=20,"20-24 ",HOUR(D24)&gt;=16,"16-20",HOUR(D24)&gt;=12,"12-16",HOUR(D24)&lt;12,"7-12")</f>
        <v>12-16</v>
      </c>
      <c r="F24" s="6" t="s">
        <v>3</v>
      </c>
      <c r="G24" s="6" t="s">
        <v>29</v>
      </c>
      <c r="H24" s="6">
        <v>38.700000000000003</v>
      </c>
      <c r="I24" s="6" t="s">
        <v>9</v>
      </c>
    </row>
    <row r="25" spans="1:9" x14ac:dyDescent="0.35">
      <c r="A25" s="34">
        <v>45354</v>
      </c>
      <c r="B25" s="34" t="str">
        <f t="shared" si="1"/>
        <v>March</v>
      </c>
      <c r="C25" s="4" t="str">
        <f t="shared" si="0"/>
        <v>Sunday</v>
      </c>
      <c r="D25" s="5">
        <v>45354.712966099534</v>
      </c>
      <c r="E25" s="6" t="str" cm="1">
        <f t="array" ref="E25">_xlfn.IFS(HOUR(D25)&gt;=20,"20-24 ",HOUR(D25)&gt;=16,"16-20",HOUR(D25)&gt;=12,"12-16",HOUR(D25)&lt;12,"7-12")</f>
        <v>16-20</v>
      </c>
      <c r="F25" s="6" t="s">
        <v>3</v>
      </c>
      <c r="G25" s="6" t="s">
        <v>30</v>
      </c>
      <c r="H25" s="6">
        <v>38.700000000000003</v>
      </c>
      <c r="I25" s="6" t="s">
        <v>18</v>
      </c>
    </row>
    <row r="26" spans="1:9" x14ac:dyDescent="0.35">
      <c r="A26" s="34">
        <v>45354</v>
      </c>
      <c r="B26" s="34" t="str">
        <f t="shared" si="1"/>
        <v>March</v>
      </c>
      <c r="C26" s="4" t="str">
        <f t="shared" si="0"/>
        <v>Sunday</v>
      </c>
      <c r="D26" s="5">
        <v>45354.714420081022</v>
      </c>
      <c r="E26" s="6" t="str" cm="1">
        <f t="array" ref="E26">_xlfn.IFS(HOUR(D26)&gt;=20,"20-24 ",HOUR(D26)&gt;=16,"16-20",HOUR(D26)&gt;=12,"12-16",HOUR(D26)&lt;12,"7-12")</f>
        <v>16-20</v>
      </c>
      <c r="F26" s="6" t="s">
        <v>3</v>
      </c>
      <c r="G26" s="6" t="s">
        <v>31</v>
      </c>
      <c r="H26" s="6">
        <v>28.9</v>
      </c>
      <c r="I26" s="6" t="s">
        <v>28</v>
      </c>
    </row>
    <row r="27" spans="1:9" x14ac:dyDescent="0.35">
      <c r="A27" s="34">
        <v>45354</v>
      </c>
      <c r="B27" s="34" t="str">
        <f t="shared" si="1"/>
        <v>March</v>
      </c>
      <c r="C27" s="4" t="str">
        <f t="shared" si="0"/>
        <v>Sunday</v>
      </c>
      <c r="D27" s="5">
        <v>45354.752353807868</v>
      </c>
      <c r="E27" s="6" t="str" cm="1">
        <f t="array" ref="E27">_xlfn.IFS(HOUR(D27)&gt;=20,"20-24 ",HOUR(D27)&gt;=16,"16-20",HOUR(D27)&gt;=12,"12-16",HOUR(D27)&lt;12,"7-12")</f>
        <v>16-20</v>
      </c>
      <c r="F27" s="6" t="s">
        <v>3</v>
      </c>
      <c r="G27" s="6" t="s">
        <v>32</v>
      </c>
      <c r="H27" s="6">
        <v>33.799999999999997</v>
      </c>
      <c r="I27" s="6" t="s">
        <v>14</v>
      </c>
    </row>
    <row r="28" spans="1:9" x14ac:dyDescent="0.35">
      <c r="A28" s="34">
        <v>45354</v>
      </c>
      <c r="B28" s="34" t="str">
        <f t="shared" si="1"/>
        <v>March</v>
      </c>
      <c r="C28" s="4" t="str">
        <f t="shared" si="0"/>
        <v>Sunday</v>
      </c>
      <c r="D28" s="5">
        <v>45354.753101226852</v>
      </c>
      <c r="E28" s="6" t="str" cm="1">
        <f t="array" ref="E28">_xlfn.IFS(HOUR(D28)&gt;=20,"20-24 ",HOUR(D28)&gt;=16,"16-20",HOUR(D28)&gt;=12,"12-16",HOUR(D28)&lt;12,"7-12")</f>
        <v>16-20</v>
      </c>
      <c r="F28" s="6" t="s">
        <v>3</v>
      </c>
      <c r="G28" s="6" t="s">
        <v>32</v>
      </c>
      <c r="H28" s="6">
        <v>33.799999999999997</v>
      </c>
      <c r="I28" s="6" t="s">
        <v>14</v>
      </c>
    </row>
    <row r="29" spans="1:9" x14ac:dyDescent="0.35">
      <c r="A29" s="34">
        <v>45354</v>
      </c>
      <c r="B29" s="34" t="str">
        <f t="shared" si="1"/>
        <v>March</v>
      </c>
      <c r="C29" s="4" t="str">
        <f t="shared" si="0"/>
        <v>Sunday</v>
      </c>
      <c r="D29" s="5">
        <v>45354.755612951391</v>
      </c>
      <c r="E29" s="6" t="str" cm="1">
        <f t="array" ref="E29">_xlfn.IFS(HOUR(D29)&gt;=20,"20-24 ",HOUR(D29)&gt;=16,"16-20",HOUR(D29)&gt;=12,"12-16",HOUR(D29)&lt;12,"7-12")</f>
        <v>16-20</v>
      </c>
      <c r="F29" s="6" t="s">
        <v>3</v>
      </c>
      <c r="G29" s="6" t="s">
        <v>32</v>
      </c>
      <c r="H29" s="6">
        <v>38.700000000000003</v>
      </c>
      <c r="I29" s="6" t="s">
        <v>9</v>
      </c>
    </row>
    <row r="30" spans="1:9" x14ac:dyDescent="0.35">
      <c r="A30" s="34">
        <v>45355</v>
      </c>
      <c r="B30" s="34" t="str">
        <f t="shared" si="1"/>
        <v>March</v>
      </c>
      <c r="C30" s="4" t="str">
        <f t="shared" si="0"/>
        <v>Monday</v>
      </c>
      <c r="D30" s="5">
        <v>45355.41935178241</v>
      </c>
      <c r="E30" s="6" t="str" cm="1">
        <f t="array" ref="E30">_xlfn.IFS(HOUR(D30)&gt;=20,"20-24 ",HOUR(D30)&gt;=16,"16-20",HOUR(D30)&gt;=12,"12-16",HOUR(D30)&lt;12,"7-12")</f>
        <v>7-12</v>
      </c>
      <c r="F30" s="6" t="s">
        <v>3</v>
      </c>
      <c r="G30" s="6" t="s">
        <v>6</v>
      </c>
      <c r="H30" s="6">
        <v>38.700000000000003</v>
      </c>
      <c r="I30" s="6" t="s">
        <v>7</v>
      </c>
    </row>
    <row r="31" spans="1:9" x14ac:dyDescent="0.35">
      <c r="A31" s="34">
        <v>45355</v>
      </c>
      <c r="B31" s="34" t="str">
        <f t="shared" si="1"/>
        <v>March</v>
      </c>
      <c r="C31" s="4" t="str">
        <f t="shared" si="0"/>
        <v>Monday</v>
      </c>
      <c r="D31" s="5">
        <v>45355.454756458334</v>
      </c>
      <c r="E31" s="6" t="str" cm="1">
        <f t="array" ref="E31">_xlfn.IFS(HOUR(D31)&gt;=20,"20-24 ",HOUR(D31)&gt;=16,"16-20",HOUR(D31)&gt;=12,"12-16",HOUR(D31)&lt;12,"7-12")</f>
        <v>7-12</v>
      </c>
      <c r="F31" s="6" t="s">
        <v>3</v>
      </c>
      <c r="G31" s="6" t="s">
        <v>33</v>
      </c>
      <c r="H31" s="6">
        <v>38.700000000000003</v>
      </c>
      <c r="I31" s="6" t="s">
        <v>7</v>
      </c>
    </row>
    <row r="32" spans="1:9" x14ac:dyDescent="0.35">
      <c r="A32" s="34">
        <v>45355</v>
      </c>
      <c r="B32" s="34" t="str">
        <f t="shared" si="1"/>
        <v>March</v>
      </c>
      <c r="C32" s="4" t="str">
        <f t="shared" si="0"/>
        <v>Monday</v>
      </c>
      <c r="D32" s="5">
        <v>45355.461992870369</v>
      </c>
      <c r="E32" s="6" t="str" cm="1">
        <f t="array" ref="E32">_xlfn.IFS(HOUR(D32)&gt;=20,"20-24 ",HOUR(D32)&gt;=16,"16-20",HOUR(D32)&gt;=12,"12-16",HOUR(D32)&lt;12,"7-12")</f>
        <v>7-12</v>
      </c>
      <c r="F32" s="6" t="s">
        <v>3</v>
      </c>
      <c r="G32" s="6" t="s">
        <v>23</v>
      </c>
      <c r="H32" s="6">
        <v>33.799999999999997</v>
      </c>
      <c r="I32" s="6" t="s">
        <v>14</v>
      </c>
    </row>
    <row r="33" spans="1:9" x14ac:dyDescent="0.35">
      <c r="A33" s="34">
        <v>45355</v>
      </c>
      <c r="B33" s="34" t="str">
        <f t="shared" si="1"/>
        <v>March</v>
      </c>
      <c r="C33" s="4" t="str">
        <f t="shared" si="0"/>
        <v>Monday</v>
      </c>
      <c r="D33" s="5">
        <v>45355.586547847219</v>
      </c>
      <c r="E33" s="6" t="str" cm="1">
        <f t="array" ref="E33">_xlfn.IFS(HOUR(D33)&gt;=20,"20-24 ",HOUR(D33)&gt;=16,"16-20",HOUR(D33)&gt;=12,"12-16",HOUR(D33)&lt;12,"7-12")</f>
        <v>12-16</v>
      </c>
      <c r="F33" s="6" t="s">
        <v>3</v>
      </c>
      <c r="G33" s="6" t="s">
        <v>34</v>
      </c>
      <c r="H33" s="6">
        <v>24</v>
      </c>
      <c r="I33" s="6" t="s">
        <v>35</v>
      </c>
    </row>
    <row r="34" spans="1:9" x14ac:dyDescent="0.35">
      <c r="A34" s="34">
        <v>45356</v>
      </c>
      <c r="B34" s="34" t="str">
        <f t="shared" si="1"/>
        <v>March</v>
      </c>
      <c r="C34" s="4" t="str">
        <f t="shared" si="0"/>
        <v>Tuesday</v>
      </c>
      <c r="D34" s="5">
        <v>45356.416581608799</v>
      </c>
      <c r="E34" s="6" t="str" cm="1">
        <f t="array" ref="E34">_xlfn.IFS(HOUR(D34)&gt;=20,"20-24 ",HOUR(D34)&gt;=16,"16-20",HOUR(D34)&gt;=12,"12-16",HOUR(D34)&lt;12,"7-12")</f>
        <v>7-12</v>
      </c>
      <c r="F34" s="6" t="s">
        <v>3</v>
      </c>
      <c r="G34" s="6" t="s">
        <v>6</v>
      </c>
      <c r="H34" s="6">
        <v>38.700000000000003</v>
      </c>
      <c r="I34" s="6" t="s">
        <v>7</v>
      </c>
    </row>
    <row r="35" spans="1:9" x14ac:dyDescent="0.35">
      <c r="A35" s="34">
        <v>45356</v>
      </c>
      <c r="B35" s="34" t="str">
        <f t="shared" si="1"/>
        <v>March</v>
      </c>
      <c r="C35" s="4" t="str">
        <f t="shared" si="0"/>
        <v>Tuesday</v>
      </c>
      <c r="D35" s="5">
        <v>45356.60759216435</v>
      </c>
      <c r="E35" s="6" t="str" cm="1">
        <f t="array" ref="E35">_xlfn.IFS(HOUR(D35)&gt;=20,"20-24 ",HOUR(D35)&gt;=16,"16-20",HOUR(D35)&gt;=12,"12-16",HOUR(D35)&lt;12,"7-12")</f>
        <v>12-16</v>
      </c>
      <c r="F35" s="6" t="s">
        <v>3</v>
      </c>
      <c r="G35" s="6" t="s">
        <v>36</v>
      </c>
      <c r="H35" s="6">
        <v>38.700000000000003</v>
      </c>
      <c r="I35" s="6" t="s">
        <v>7</v>
      </c>
    </row>
    <row r="36" spans="1:9" x14ac:dyDescent="0.35">
      <c r="A36" s="34">
        <v>45356</v>
      </c>
      <c r="B36" s="34" t="str">
        <f t="shared" si="1"/>
        <v>March</v>
      </c>
      <c r="C36" s="4" t="str">
        <f t="shared" si="0"/>
        <v>Tuesday</v>
      </c>
      <c r="D36" s="5">
        <v>45356.732014386573</v>
      </c>
      <c r="E36" s="6" t="str" cm="1">
        <f t="array" ref="E36">_xlfn.IFS(HOUR(D36)&gt;=20,"20-24 ",HOUR(D36)&gt;=16,"16-20",HOUR(D36)&gt;=12,"12-16",HOUR(D36)&lt;12,"7-12")</f>
        <v>16-20</v>
      </c>
      <c r="F36" s="6" t="s">
        <v>3</v>
      </c>
      <c r="G36" s="6" t="s">
        <v>37</v>
      </c>
      <c r="H36" s="6">
        <v>38.700000000000003</v>
      </c>
      <c r="I36" s="6" t="s">
        <v>7</v>
      </c>
    </row>
    <row r="37" spans="1:9" x14ac:dyDescent="0.35">
      <c r="A37" s="34">
        <v>45356</v>
      </c>
      <c r="B37" s="34" t="str">
        <f t="shared" si="1"/>
        <v>March</v>
      </c>
      <c r="C37" s="4" t="str">
        <f t="shared" si="0"/>
        <v>Tuesday</v>
      </c>
      <c r="D37" s="5">
        <v>45356.732928483798</v>
      </c>
      <c r="E37" s="6" t="str" cm="1">
        <f t="array" ref="E37">_xlfn.IFS(HOUR(D37)&gt;=20,"20-24 ",HOUR(D37)&gt;=16,"16-20",HOUR(D37)&gt;=12,"12-16",HOUR(D37)&lt;12,"7-12")</f>
        <v>16-20</v>
      </c>
      <c r="F37" s="6" t="s">
        <v>3</v>
      </c>
      <c r="G37" s="6" t="s">
        <v>38</v>
      </c>
      <c r="H37" s="6">
        <v>38.700000000000003</v>
      </c>
      <c r="I37" s="6" t="s">
        <v>9</v>
      </c>
    </row>
    <row r="38" spans="1:9" x14ac:dyDescent="0.35">
      <c r="A38" s="34">
        <v>45356</v>
      </c>
      <c r="B38" s="34" t="str">
        <f t="shared" si="1"/>
        <v>March</v>
      </c>
      <c r="C38" s="4" t="str">
        <f t="shared" si="0"/>
        <v>Tuesday</v>
      </c>
      <c r="D38" s="5">
        <v>45356.733664016203</v>
      </c>
      <c r="E38" s="6" t="str" cm="1">
        <f t="array" ref="E38">_xlfn.IFS(HOUR(D38)&gt;=20,"20-24 ",HOUR(D38)&gt;=16,"16-20",HOUR(D38)&gt;=12,"12-16",HOUR(D38)&lt;12,"7-12")</f>
        <v>16-20</v>
      </c>
      <c r="F38" s="6" t="s">
        <v>3</v>
      </c>
      <c r="G38" s="6" t="s">
        <v>39</v>
      </c>
      <c r="H38" s="6">
        <v>38.700000000000003</v>
      </c>
      <c r="I38" s="6" t="s">
        <v>18</v>
      </c>
    </row>
    <row r="39" spans="1:9" x14ac:dyDescent="0.35">
      <c r="A39" s="34">
        <v>45356</v>
      </c>
      <c r="B39" s="34" t="str">
        <f t="shared" si="1"/>
        <v>March</v>
      </c>
      <c r="C39" s="4" t="str">
        <f t="shared" si="0"/>
        <v>Tuesday</v>
      </c>
      <c r="D39" s="5">
        <v>45356.734185868052</v>
      </c>
      <c r="E39" s="6" t="str" cm="1">
        <f t="array" ref="E39">_xlfn.IFS(HOUR(D39)&gt;=20,"20-24 ",HOUR(D39)&gt;=16,"16-20",HOUR(D39)&gt;=12,"12-16",HOUR(D39)&lt;12,"7-12")</f>
        <v>16-20</v>
      </c>
      <c r="F39" s="6" t="s">
        <v>3</v>
      </c>
      <c r="G39" s="6" t="s">
        <v>40</v>
      </c>
      <c r="H39" s="6">
        <v>38.700000000000003</v>
      </c>
      <c r="I39" s="6" t="s">
        <v>9</v>
      </c>
    </row>
    <row r="40" spans="1:9" x14ac:dyDescent="0.35">
      <c r="A40" s="34">
        <v>45356</v>
      </c>
      <c r="B40" s="34" t="str">
        <f t="shared" si="1"/>
        <v>March</v>
      </c>
      <c r="C40" s="4" t="str">
        <f t="shared" si="0"/>
        <v>Tuesday</v>
      </c>
      <c r="D40" s="5">
        <v>45356.734830486108</v>
      </c>
      <c r="E40" s="6" t="str" cm="1">
        <f t="array" ref="E40">_xlfn.IFS(HOUR(D40)&gt;=20,"20-24 ",HOUR(D40)&gt;=16,"16-20",HOUR(D40)&gt;=12,"12-16",HOUR(D40)&lt;12,"7-12")</f>
        <v>16-20</v>
      </c>
      <c r="F40" s="6" t="s">
        <v>3</v>
      </c>
      <c r="G40" s="6" t="s">
        <v>19</v>
      </c>
      <c r="H40" s="6">
        <v>38.700000000000003</v>
      </c>
      <c r="I40" s="6" t="s">
        <v>9</v>
      </c>
    </row>
    <row r="41" spans="1:9" x14ac:dyDescent="0.35">
      <c r="A41" s="34">
        <v>45356</v>
      </c>
      <c r="B41" s="34" t="str">
        <f t="shared" si="1"/>
        <v>March</v>
      </c>
      <c r="C41" s="4" t="str">
        <f t="shared" si="0"/>
        <v>Tuesday</v>
      </c>
      <c r="D41" s="5">
        <v>45356.747404814814</v>
      </c>
      <c r="E41" s="6" t="str" cm="1">
        <f t="array" ref="E41">_xlfn.IFS(HOUR(D41)&gt;=20,"20-24 ",HOUR(D41)&gt;=16,"16-20",HOUR(D41)&gt;=12,"12-16",HOUR(D41)&lt;12,"7-12")</f>
        <v>16-20</v>
      </c>
      <c r="F41" s="6" t="s">
        <v>3</v>
      </c>
      <c r="G41" s="6" t="s">
        <v>41</v>
      </c>
      <c r="H41" s="6">
        <v>28.9</v>
      </c>
      <c r="I41" s="6" t="s">
        <v>28</v>
      </c>
    </row>
    <row r="42" spans="1:9" x14ac:dyDescent="0.35">
      <c r="A42" s="34">
        <v>45356</v>
      </c>
      <c r="B42" s="34" t="str">
        <f t="shared" si="1"/>
        <v>March</v>
      </c>
      <c r="C42" s="4" t="str">
        <f t="shared" si="0"/>
        <v>Tuesday</v>
      </c>
      <c r="D42" s="5">
        <v>45356.751056041663</v>
      </c>
      <c r="E42" s="6" t="str" cm="1">
        <f t="array" ref="E42">_xlfn.IFS(HOUR(D42)&gt;=20,"20-24 ",HOUR(D42)&gt;=16,"16-20",HOUR(D42)&gt;=12,"12-16",HOUR(D42)&lt;12,"7-12")</f>
        <v>16-20</v>
      </c>
      <c r="F42" s="6" t="s">
        <v>3</v>
      </c>
      <c r="G42" s="6" t="s">
        <v>41</v>
      </c>
      <c r="H42" s="6">
        <v>38.700000000000003</v>
      </c>
      <c r="I42" s="6" t="s">
        <v>9</v>
      </c>
    </row>
    <row r="43" spans="1:9" x14ac:dyDescent="0.35">
      <c r="A43" s="34">
        <v>45357</v>
      </c>
      <c r="B43" s="34" t="str">
        <f t="shared" si="1"/>
        <v>March</v>
      </c>
      <c r="C43" s="4" t="str">
        <f t="shared" si="0"/>
        <v>Wednesday</v>
      </c>
      <c r="D43" s="5">
        <v>45357.521146863422</v>
      </c>
      <c r="E43" s="6" t="str" cm="1">
        <f t="array" ref="E43">_xlfn.IFS(HOUR(D43)&gt;=20,"20-24 ",HOUR(D43)&gt;=16,"16-20",HOUR(D43)&gt;=12,"12-16",HOUR(D43)&lt;12,"7-12")</f>
        <v>12-16</v>
      </c>
      <c r="F43" s="6" t="s">
        <v>21</v>
      </c>
      <c r="G43" s="6" t="s">
        <v>463</v>
      </c>
      <c r="H43" s="6">
        <v>35</v>
      </c>
      <c r="I43" s="6" t="s">
        <v>14</v>
      </c>
    </row>
    <row r="44" spans="1:9" x14ac:dyDescent="0.35">
      <c r="A44" s="34">
        <v>45357</v>
      </c>
      <c r="B44" s="34" t="str">
        <f t="shared" si="1"/>
        <v>March</v>
      </c>
      <c r="C44" s="4" t="str">
        <f t="shared" si="0"/>
        <v>Wednesday</v>
      </c>
      <c r="D44" s="5">
        <v>45357.558422071757</v>
      </c>
      <c r="E44" s="6" t="str" cm="1">
        <f t="array" ref="E44">_xlfn.IFS(HOUR(D44)&gt;=20,"20-24 ",HOUR(D44)&gt;=16,"16-20",HOUR(D44)&gt;=12,"12-16",HOUR(D44)&lt;12,"7-12")</f>
        <v>12-16</v>
      </c>
      <c r="F44" s="6" t="s">
        <v>3</v>
      </c>
      <c r="G44" s="6" t="s">
        <v>23</v>
      </c>
      <c r="H44" s="6">
        <v>28.9</v>
      </c>
      <c r="I44" s="6" t="s">
        <v>11</v>
      </c>
    </row>
    <row r="45" spans="1:9" x14ac:dyDescent="0.35">
      <c r="A45" s="34">
        <v>45357</v>
      </c>
      <c r="B45" s="34" t="str">
        <f t="shared" si="1"/>
        <v>March</v>
      </c>
      <c r="C45" s="4" t="str">
        <f t="shared" si="0"/>
        <v>Wednesday</v>
      </c>
      <c r="D45" s="5">
        <v>45357.559193877314</v>
      </c>
      <c r="E45" s="6" t="str" cm="1">
        <f t="array" ref="E45">_xlfn.IFS(HOUR(D45)&gt;=20,"20-24 ",HOUR(D45)&gt;=16,"16-20",HOUR(D45)&gt;=12,"12-16",HOUR(D45)&lt;12,"7-12")</f>
        <v>12-16</v>
      </c>
      <c r="F45" s="6" t="s">
        <v>3</v>
      </c>
      <c r="G45" s="6" t="s">
        <v>23</v>
      </c>
      <c r="H45" s="6">
        <v>28.9</v>
      </c>
      <c r="I45" s="6" t="s">
        <v>28</v>
      </c>
    </row>
    <row r="46" spans="1:9" x14ac:dyDescent="0.35">
      <c r="A46" s="34">
        <v>45357</v>
      </c>
      <c r="B46" s="34" t="str">
        <f t="shared" si="1"/>
        <v>March</v>
      </c>
      <c r="C46" s="4" t="str">
        <f t="shared" si="0"/>
        <v>Wednesday</v>
      </c>
      <c r="D46" s="5">
        <v>45357.619464826392</v>
      </c>
      <c r="E46" s="6" t="str" cm="1">
        <f t="array" ref="E46">_xlfn.IFS(HOUR(D46)&gt;=20,"20-24 ",HOUR(D46)&gt;=16,"16-20",HOUR(D46)&gt;=12,"12-16",HOUR(D46)&lt;12,"7-12")</f>
        <v>12-16</v>
      </c>
      <c r="F46" s="6" t="s">
        <v>3</v>
      </c>
      <c r="G46" s="6" t="s">
        <v>42</v>
      </c>
      <c r="H46" s="6">
        <v>38.700000000000003</v>
      </c>
      <c r="I46" s="6" t="s">
        <v>43</v>
      </c>
    </row>
    <row r="47" spans="1:9" x14ac:dyDescent="0.35">
      <c r="A47" s="34">
        <v>45357</v>
      </c>
      <c r="B47" s="34" t="str">
        <f t="shared" si="1"/>
        <v>March</v>
      </c>
      <c r="C47" s="4" t="str">
        <f t="shared" si="0"/>
        <v>Wednesday</v>
      </c>
      <c r="D47" s="5">
        <v>45357.620351203703</v>
      </c>
      <c r="E47" s="6" t="str" cm="1">
        <f t="array" ref="E47">_xlfn.IFS(HOUR(D47)&gt;=20,"20-24 ",HOUR(D47)&gt;=16,"16-20",HOUR(D47)&gt;=12,"12-16",HOUR(D47)&lt;12,"7-12")</f>
        <v>12-16</v>
      </c>
      <c r="F47" s="6" t="s">
        <v>3</v>
      </c>
      <c r="G47" s="6" t="s">
        <v>42</v>
      </c>
      <c r="H47" s="6">
        <v>38.700000000000003</v>
      </c>
      <c r="I47" s="6" t="s">
        <v>43</v>
      </c>
    </row>
    <row r="48" spans="1:9" x14ac:dyDescent="0.35">
      <c r="A48" s="34">
        <v>45358</v>
      </c>
      <c r="B48" s="34" t="str">
        <f t="shared" si="1"/>
        <v>March</v>
      </c>
      <c r="C48" s="4" t="str">
        <f t="shared" si="0"/>
        <v>Thursday</v>
      </c>
      <c r="D48" s="5">
        <v>45358.42290445602</v>
      </c>
      <c r="E48" s="6" t="str" cm="1">
        <f t="array" ref="E48">_xlfn.IFS(HOUR(D48)&gt;=20,"20-24 ",HOUR(D48)&gt;=16,"16-20",HOUR(D48)&gt;=12,"12-16",HOUR(D48)&lt;12,"7-12")</f>
        <v>7-12</v>
      </c>
      <c r="F48" s="6" t="s">
        <v>21</v>
      </c>
      <c r="G48" s="6" t="s">
        <v>463</v>
      </c>
      <c r="H48" s="6">
        <v>40</v>
      </c>
      <c r="I48" s="6" t="s">
        <v>7</v>
      </c>
    </row>
    <row r="49" spans="1:9" x14ac:dyDescent="0.35">
      <c r="A49" s="34">
        <v>45358</v>
      </c>
      <c r="B49" s="34" t="str">
        <f t="shared" si="1"/>
        <v>March</v>
      </c>
      <c r="C49" s="4" t="str">
        <f t="shared" si="0"/>
        <v>Thursday</v>
      </c>
      <c r="D49" s="5">
        <v>45358.429635914355</v>
      </c>
      <c r="E49" s="6" t="str" cm="1">
        <f t="array" ref="E49">_xlfn.IFS(HOUR(D49)&gt;=20,"20-24 ",HOUR(D49)&gt;=16,"16-20",HOUR(D49)&gt;=12,"12-16",HOUR(D49)&lt;12,"7-12")</f>
        <v>7-12</v>
      </c>
      <c r="F49" s="6" t="s">
        <v>3</v>
      </c>
      <c r="G49" s="6" t="s">
        <v>44</v>
      </c>
      <c r="H49" s="6">
        <v>38.700000000000003</v>
      </c>
      <c r="I49" s="6" t="s">
        <v>9</v>
      </c>
    </row>
    <row r="50" spans="1:9" x14ac:dyDescent="0.35">
      <c r="A50" s="34">
        <v>45358</v>
      </c>
      <c r="B50" s="34" t="str">
        <f t="shared" si="1"/>
        <v>March</v>
      </c>
      <c r="C50" s="4" t="str">
        <f t="shared" si="0"/>
        <v>Thursday</v>
      </c>
      <c r="D50" s="5">
        <v>45358.461099259257</v>
      </c>
      <c r="E50" s="6" t="str" cm="1">
        <f t="array" ref="E50">_xlfn.IFS(HOUR(D50)&gt;=20,"20-24 ",HOUR(D50)&gt;=16,"16-20",HOUR(D50)&gt;=12,"12-16",HOUR(D50)&lt;12,"7-12")</f>
        <v>7-12</v>
      </c>
      <c r="F50" s="6" t="s">
        <v>3</v>
      </c>
      <c r="G50" s="6" t="s">
        <v>45</v>
      </c>
      <c r="H50" s="6">
        <v>38.700000000000003</v>
      </c>
      <c r="I50" s="6" t="s">
        <v>7</v>
      </c>
    </row>
    <row r="51" spans="1:9" x14ac:dyDescent="0.35">
      <c r="A51" s="34">
        <v>45358</v>
      </c>
      <c r="B51" s="34" t="str">
        <f t="shared" si="1"/>
        <v>March</v>
      </c>
      <c r="C51" s="4" t="str">
        <f t="shared" si="0"/>
        <v>Thursday</v>
      </c>
      <c r="D51" s="5">
        <v>45358.476203437502</v>
      </c>
      <c r="E51" s="6" t="str" cm="1">
        <f t="array" ref="E51">_xlfn.IFS(HOUR(D51)&gt;=20,"20-24 ",HOUR(D51)&gt;=16,"16-20",HOUR(D51)&gt;=12,"12-16",HOUR(D51)&lt;12,"7-12")</f>
        <v>7-12</v>
      </c>
      <c r="F51" s="6" t="s">
        <v>21</v>
      </c>
      <c r="G51" s="6" t="s">
        <v>463</v>
      </c>
      <c r="H51" s="6">
        <v>40</v>
      </c>
      <c r="I51" s="6" t="s">
        <v>7</v>
      </c>
    </row>
    <row r="52" spans="1:9" x14ac:dyDescent="0.35">
      <c r="A52" s="34">
        <v>45358</v>
      </c>
      <c r="B52" s="34" t="str">
        <f t="shared" si="1"/>
        <v>March</v>
      </c>
      <c r="C52" s="4" t="str">
        <f t="shared" si="0"/>
        <v>Thursday</v>
      </c>
      <c r="D52" s="5">
        <v>45358.653039421297</v>
      </c>
      <c r="E52" s="6" t="str" cm="1">
        <f t="array" ref="E52">_xlfn.IFS(HOUR(D52)&gt;=20,"20-24 ",HOUR(D52)&gt;=16,"16-20",HOUR(D52)&gt;=12,"12-16",HOUR(D52)&lt;12,"7-12")</f>
        <v>12-16</v>
      </c>
      <c r="F52" s="6" t="s">
        <v>3</v>
      </c>
      <c r="G52" s="6" t="s">
        <v>46</v>
      </c>
      <c r="H52" s="6">
        <v>28.9</v>
      </c>
      <c r="I52" s="6" t="s">
        <v>11</v>
      </c>
    </row>
    <row r="53" spans="1:9" x14ac:dyDescent="0.35">
      <c r="A53" s="34">
        <v>45358</v>
      </c>
      <c r="B53" s="34" t="str">
        <f t="shared" si="1"/>
        <v>March</v>
      </c>
      <c r="C53" s="4" t="str">
        <f t="shared" si="0"/>
        <v>Thursday</v>
      </c>
      <c r="D53" s="5">
        <v>45358.65380537037</v>
      </c>
      <c r="E53" s="6" t="str" cm="1">
        <f t="array" ref="E53">_xlfn.IFS(HOUR(D53)&gt;=20,"20-24 ",HOUR(D53)&gt;=16,"16-20",HOUR(D53)&gt;=12,"12-16",HOUR(D53)&lt;12,"7-12")</f>
        <v>12-16</v>
      </c>
      <c r="F53" s="6" t="s">
        <v>3</v>
      </c>
      <c r="G53" s="6" t="s">
        <v>47</v>
      </c>
      <c r="H53" s="6">
        <v>33.799999999999997</v>
      </c>
      <c r="I53" s="6" t="s">
        <v>14</v>
      </c>
    </row>
    <row r="54" spans="1:9" x14ac:dyDescent="0.35">
      <c r="A54" s="34">
        <v>45359</v>
      </c>
      <c r="B54" s="34" t="str">
        <f t="shared" si="1"/>
        <v>March</v>
      </c>
      <c r="C54" s="4" t="str">
        <f t="shared" si="0"/>
        <v>Friday</v>
      </c>
      <c r="D54" s="5">
        <v>45359.44075559028</v>
      </c>
      <c r="E54" s="6" t="str" cm="1">
        <f t="array" ref="E54">_xlfn.IFS(HOUR(D54)&gt;=20,"20-24 ",HOUR(D54)&gt;=16,"16-20",HOUR(D54)&gt;=12,"12-16",HOUR(D54)&lt;12,"7-12")</f>
        <v>7-12</v>
      </c>
      <c r="F54" s="6" t="s">
        <v>3</v>
      </c>
      <c r="G54" s="6" t="s">
        <v>23</v>
      </c>
      <c r="H54" s="6">
        <v>28.9</v>
      </c>
      <c r="I54" s="6" t="s">
        <v>28</v>
      </c>
    </row>
    <row r="55" spans="1:9" x14ac:dyDescent="0.35">
      <c r="A55" s="34">
        <v>45359</v>
      </c>
      <c r="B55" s="34" t="str">
        <f t="shared" si="1"/>
        <v>March</v>
      </c>
      <c r="C55" s="4" t="str">
        <f t="shared" si="0"/>
        <v>Friday</v>
      </c>
      <c r="D55" s="5">
        <v>45359.515609409726</v>
      </c>
      <c r="E55" s="6" t="str" cm="1">
        <f t="array" ref="E55">_xlfn.IFS(HOUR(D55)&gt;=20,"20-24 ",HOUR(D55)&gt;=16,"16-20",HOUR(D55)&gt;=12,"12-16",HOUR(D55)&lt;12,"7-12")</f>
        <v>12-16</v>
      </c>
      <c r="F55" s="6" t="s">
        <v>3</v>
      </c>
      <c r="G55" s="6" t="s">
        <v>48</v>
      </c>
      <c r="H55" s="6">
        <v>38.700000000000003</v>
      </c>
      <c r="I55" s="6" t="s">
        <v>43</v>
      </c>
    </row>
    <row r="56" spans="1:9" x14ac:dyDescent="0.35">
      <c r="A56" s="34">
        <v>45359</v>
      </c>
      <c r="B56" s="34" t="str">
        <f t="shared" si="1"/>
        <v>March</v>
      </c>
      <c r="C56" s="4" t="str">
        <f t="shared" si="0"/>
        <v>Friday</v>
      </c>
      <c r="D56" s="5">
        <v>45359.578495856484</v>
      </c>
      <c r="E56" s="6" t="str" cm="1">
        <f t="array" ref="E56">_xlfn.IFS(HOUR(D56)&gt;=20,"20-24 ",HOUR(D56)&gt;=16,"16-20",HOUR(D56)&gt;=12,"12-16",HOUR(D56)&lt;12,"7-12")</f>
        <v>12-16</v>
      </c>
      <c r="F56" s="6" t="s">
        <v>3</v>
      </c>
      <c r="G56" s="6" t="s">
        <v>49</v>
      </c>
      <c r="H56" s="6">
        <v>28.9</v>
      </c>
      <c r="I56" s="6" t="s">
        <v>11</v>
      </c>
    </row>
    <row r="57" spans="1:9" x14ac:dyDescent="0.35">
      <c r="A57" s="34">
        <v>45359</v>
      </c>
      <c r="B57" s="34" t="str">
        <f t="shared" si="1"/>
        <v>March</v>
      </c>
      <c r="C57" s="4" t="str">
        <f t="shared" si="0"/>
        <v>Friday</v>
      </c>
      <c r="D57" s="5">
        <v>45359.61403571759</v>
      </c>
      <c r="E57" s="6" t="str" cm="1">
        <f t="array" ref="E57">_xlfn.IFS(HOUR(D57)&gt;=20,"20-24 ",HOUR(D57)&gt;=16,"16-20",HOUR(D57)&gt;=12,"12-16",HOUR(D57)&lt;12,"7-12")</f>
        <v>12-16</v>
      </c>
      <c r="F57" s="6" t="s">
        <v>3</v>
      </c>
      <c r="G57" s="6" t="s">
        <v>23</v>
      </c>
      <c r="H57" s="6">
        <v>28.9</v>
      </c>
      <c r="I57" s="6" t="s">
        <v>11</v>
      </c>
    </row>
    <row r="58" spans="1:9" x14ac:dyDescent="0.35">
      <c r="A58" s="34">
        <v>45359</v>
      </c>
      <c r="B58" s="34" t="str">
        <f t="shared" si="1"/>
        <v>March</v>
      </c>
      <c r="C58" s="4" t="str">
        <f t="shared" si="0"/>
        <v>Friday</v>
      </c>
      <c r="D58" s="5">
        <v>45359.614711203707</v>
      </c>
      <c r="E58" s="6" t="str" cm="1">
        <f t="array" ref="E58">_xlfn.IFS(HOUR(D58)&gt;=20,"20-24 ",HOUR(D58)&gt;=16,"16-20",HOUR(D58)&gt;=12,"12-16",HOUR(D58)&lt;12,"7-12")</f>
        <v>12-16</v>
      </c>
      <c r="F58" s="6" t="s">
        <v>3</v>
      </c>
      <c r="G58" s="6" t="s">
        <v>47</v>
      </c>
      <c r="H58" s="6">
        <v>28.9</v>
      </c>
      <c r="I58" s="6" t="s">
        <v>11</v>
      </c>
    </row>
    <row r="59" spans="1:9" x14ac:dyDescent="0.35">
      <c r="A59" s="34">
        <v>45359</v>
      </c>
      <c r="B59" s="34" t="str">
        <f t="shared" si="1"/>
        <v>March</v>
      </c>
      <c r="C59" s="4" t="str">
        <f t="shared" si="0"/>
        <v>Friday</v>
      </c>
      <c r="D59" s="5">
        <v>45359.615406886573</v>
      </c>
      <c r="E59" s="6" t="str" cm="1">
        <f t="array" ref="E59">_xlfn.IFS(HOUR(D59)&gt;=20,"20-24 ",HOUR(D59)&gt;=16,"16-20",HOUR(D59)&gt;=12,"12-16",HOUR(D59)&lt;12,"7-12")</f>
        <v>12-16</v>
      </c>
      <c r="F59" s="6" t="s">
        <v>3</v>
      </c>
      <c r="G59" s="6" t="s">
        <v>23</v>
      </c>
      <c r="H59" s="6">
        <v>33.799999999999997</v>
      </c>
      <c r="I59" s="6" t="s">
        <v>14</v>
      </c>
    </row>
    <row r="60" spans="1:9" x14ac:dyDescent="0.35">
      <c r="A60" s="34">
        <v>45359</v>
      </c>
      <c r="B60" s="34" t="str">
        <f t="shared" si="1"/>
        <v>March</v>
      </c>
      <c r="C60" s="4" t="str">
        <f t="shared" si="0"/>
        <v>Friday</v>
      </c>
      <c r="D60" s="5">
        <v>45359.790178831019</v>
      </c>
      <c r="E60" s="6" t="str" cm="1">
        <f t="array" ref="E60">_xlfn.IFS(HOUR(D60)&gt;=20,"20-24 ",HOUR(D60)&gt;=16,"16-20",HOUR(D60)&gt;=12,"12-16",HOUR(D60)&lt;12,"7-12")</f>
        <v>16-20</v>
      </c>
      <c r="F60" s="6" t="s">
        <v>3</v>
      </c>
      <c r="G60" s="6" t="s">
        <v>50</v>
      </c>
      <c r="H60" s="6">
        <v>38.700000000000003</v>
      </c>
      <c r="I60" s="6" t="s">
        <v>7</v>
      </c>
    </row>
    <row r="61" spans="1:9" x14ac:dyDescent="0.35">
      <c r="A61" s="34">
        <v>45359</v>
      </c>
      <c r="B61" s="34" t="str">
        <f t="shared" si="1"/>
        <v>March</v>
      </c>
      <c r="C61" s="4" t="str">
        <f t="shared" si="0"/>
        <v>Friday</v>
      </c>
      <c r="D61" s="5">
        <v>45359.791260891201</v>
      </c>
      <c r="E61" s="6" t="str" cm="1">
        <f t="array" ref="E61">_xlfn.IFS(HOUR(D61)&gt;=20,"20-24 ",HOUR(D61)&gt;=16,"16-20",HOUR(D61)&gt;=12,"12-16",HOUR(D61)&lt;12,"7-12")</f>
        <v>16-20</v>
      </c>
      <c r="F61" s="6" t="s">
        <v>3</v>
      </c>
      <c r="G61" s="6" t="s">
        <v>51</v>
      </c>
      <c r="H61" s="6">
        <v>38.700000000000003</v>
      </c>
      <c r="I61" s="6" t="s">
        <v>7</v>
      </c>
    </row>
    <row r="62" spans="1:9" x14ac:dyDescent="0.35">
      <c r="A62" s="34">
        <v>45360</v>
      </c>
      <c r="B62" s="34" t="str">
        <f t="shared" si="1"/>
        <v>March</v>
      </c>
      <c r="C62" s="4" t="str">
        <f t="shared" si="0"/>
        <v>Saturday</v>
      </c>
      <c r="D62" s="5">
        <v>45360.492792731478</v>
      </c>
      <c r="E62" s="6" t="str" cm="1">
        <f t="array" ref="E62">_xlfn.IFS(HOUR(D62)&gt;=20,"20-24 ",HOUR(D62)&gt;=16,"16-20",HOUR(D62)&gt;=12,"12-16",HOUR(D62)&lt;12,"7-12")</f>
        <v>7-12</v>
      </c>
      <c r="F62" s="6" t="s">
        <v>21</v>
      </c>
      <c r="G62" s="6" t="s">
        <v>463</v>
      </c>
      <c r="H62" s="6">
        <v>40</v>
      </c>
      <c r="I62" s="6" t="s">
        <v>9</v>
      </c>
    </row>
    <row r="63" spans="1:9" x14ac:dyDescent="0.35">
      <c r="A63" s="34">
        <v>45360</v>
      </c>
      <c r="B63" s="34" t="str">
        <f t="shared" si="1"/>
        <v>March</v>
      </c>
      <c r="C63" s="4" t="str">
        <f t="shared" si="0"/>
        <v>Saturday</v>
      </c>
      <c r="D63" s="5">
        <v>45360.50365230324</v>
      </c>
      <c r="E63" s="6" t="str" cm="1">
        <f t="array" ref="E63">_xlfn.IFS(HOUR(D63)&gt;=20,"20-24 ",HOUR(D63)&gt;=16,"16-20",HOUR(D63)&gt;=12,"12-16",HOUR(D63)&lt;12,"7-12")</f>
        <v>12-16</v>
      </c>
      <c r="F63" s="6" t="s">
        <v>3</v>
      </c>
      <c r="G63" s="6" t="s">
        <v>52</v>
      </c>
      <c r="H63" s="6">
        <v>24</v>
      </c>
      <c r="I63" s="6" t="s">
        <v>35</v>
      </c>
    </row>
    <row r="64" spans="1:9" x14ac:dyDescent="0.35">
      <c r="A64" s="34">
        <v>45360</v>
      </c>
      <c r="B64" s="34" t="str">
        <f t="shared" si="1"/>
        <v>March</v>
      </c>
      <c r="C64" s="4" t="str">
        <f t="shared" si="0"/>
        <v>Saturday</v>
      </c>
      <c r="D64" s="5">
        <v>45360.505304108796</v>
      </c>
      <c r="E64" s="6" t="str" cm="1">
        <f t="array" ref="E64">_xlfn.IFS(HOUR(D64)&gt;=20,"20-24 ",HOUR(D64)&gt;=16,"16-20",HOUR(D64)&gt;=12,"12-16",HOUR(D64)&lt;12,"7-12")</f>
        <v>12-16</v>
      </c>
      <c r="F64" s="6" t="s">
        <v>3</v>
      </c>
      <c r="G64" s="6" t="s">
        <v>53</v>
      </c>
      <c r="H64" s="6">
        <v>28.9</v>
      </c>
      <c r="I64" s="6" t="s">
        <v>11</v>
      </c>
    </row>
    <row r="65" spans="1:9" x14ac:dyDescent="0.35">
      <c r="A65" s="34">
        <v>45360</v>
      </c>
      <c r="B65" s="34" t="str">
        <f t="shared" si="1"/>
        <v>March</v>
      </c>
      <c r="C65" s="4" t="str">
        <f t="shared" si="0"/>
        <v>Saturday</v>
      </c>
      <c r="D65" s="5">
        <v>45360.506802245371</v>
      </c>
      <c r="E65" s="6" t="str" cm="1">
        <f t="array" ref="E65">_xlfn.IFS(HOUR(D65)&gt;=20,"20-24 ",HOUR(D65)&gt;=16,"16-20",HOUR(D65)&gt;=12,"12-16",HOUR(D65)&lt;12,"7-12")</f>
        <v>12-16</v>
      </c>
      <c r="F65" s="6" t="s">
        <v>3</v>
      </c>
      <c r="G65" s="6" t="s">
        <v>23</v>
      </c>
      <c r="H65" s="6">
        <v>38.700000000000003</v>
      </c>
      <c r="I65" s="6" t="s">
        <v>43</v>
      </c>
    </row>
    <row r="66" spans="1:9" x14ac:dyDescent="0.35">
      <c r="A66" s="34">
        <v>45360</v>
      </c>
      <c r="B66" s="34" t="str">
        <f t="shared" si="1"/>
        <v>March</v>
      </c>
      <c r="C66" s="4" t="str">
        <f t="shared" ref="C66:C129" si="2">TEXT(A66,"ddddddddd")</f>
        <v>Saturday</v>
      </c>
      <c r="D66" s="5">
        <v>45360.509068530089</v>
      </c>
      <c r="E66" s="6" t="str" cm="1">
        <f t="array" ref="E66">_xlfn.IFS(HOUR(D66)&gt;=20,"20-24 ",HOUR(D66)&gt;=16,"16-20",HOUR(D66)&gt;=12,"12-16",HOUR(D66)&lt;12,"7-12")</f>
        <v>12-16</v>
      </c>
      <c r="F66" s="6" t="s">
        <v>3</v>
      </c>
      <c r="G66" s="6" t="s">
        <v>54</v>
      </c>
      <c r="H66" s="6">
        <v>28.9</v>
      </c>
      <c r="I66" s="6" t="s">
        <v>11</v>
      </c>
    </row>
    <row r="67" spans="1:9" x14ac:dyDescent="0.35">
      <c r="A67" s="34">
        <v>45360</v>
      </c>
      <c r="B67" s="34" t="str">
        <f t="shared" ref="B67:B130" si="3">TEXT(A67, "mmmm")</f>
        <v>March</v>
      </c>
      <c r="C67" s="4" t="str">
        <f t="shared" si="2"/>
        <v>Saturday</v>
      </c>
      <c r="D67" s="5">
        <v>45360.510028449076</v>
      </c>
      <c r="E67" s="6" t="str" cm="1">
        <f t="array" ref="E67">_xlfn.IFS(HOUR(D67)&gt;=20,"20-24 ",HOUR(D67)&gt;=16,"16-20",HOUR(D67)&gt;=12,"12-16",HOUR(D67)&lt;12,"7-12")</f>
        <v>12-16</v>
      </c>
      <c r="F67" s="6" t="s">
        <v>3</v>
      </c>
      <c r="G67" s="6" t="s">
        <v>54</v>
      </c>
      <c r="H67" s="6">
        <v>28.9</v>
      </c>
      <c r="I67" s="6" t="s">
        <v>11</v>
      </c>
    </row>
    <row r="68" spans="1:9" x14ac:dyDescent="0.35">
      <c r="A68" s="34">
        <v>45360</v>
      </c>
      <c r="B68" s="34" t="str">
        <f t="shared" si="3"/>
        <v>March</v>
      </c>
      <c r="C68" s="4" t="str">
        <f t="shared" si="2"/>
        <v>Saturday</v>
      </c>
      <c r="D68" s="5">
        <v>45360.548173946758</v>
      </c>
      <c r="E68" s="6" t="str" cm="1">
        <f t="array" ref="E68">_xlfn.IFS(HOUR(D68)&gt;=20,"20-24 ",HOUR(D68)&gt;=16,"16-20",HOUR(D68)&gt;=12,"12-16",HOUR(D68)&lt;12,"7-12")</f>
        <v>12-16</v>
      </c>
      <c r="F68" s="6" t="s">
        <v>3</v>
      </c>
      <c r="G68" s="6" t="s">
        <v>55</v>
      </c>
      <c r="H68" s="6">
        <v>38.700000000000003</v>
      </c>
      <c r="I68" s="6" t="s">
        <v>7</v>
      </c>
    </row>
    <row r="69" spans="1:9" x14ac:dyDescent="0.35">
      <c r="A69" s="34">
        <v>45360</v>
      </c>
      <c r="B69" s="34" t="str">
        <f t="shared" si="3"/>
        <v>March</v>
      </c>
      <c r="C69" s="4" t="str">
        <f t="shared" si="2"/>
        <v>Saturday</v>
      </c>
      <c r="D69" s="5">
        <v>45360.570210266204</v>
      </c>
      <c r="E69" s="6" t="str" cm="1">
        <f t="array" ref="E69">_xlfn.IFS(HOUR(D69)&gt;=20,"20-24 ",HOUR(D69)&gt;=16,"16-20",HOUR(D69)&gt;=12,"12-16",HOUR(D69)&lt;12,"7-12")</f>
        <v>12-16</v>
      </c>
      <c r="F69" s="6" t="s">
        <v>3</v>
      </c>
      <c r="G69" s="6" t="s">
        <v>56</v>
      </c>
      <c r="H69" s="6">
        <v>33.799999999999997</v>
      </c>
      <c r="I69" s="6" t="s">
        <v>14</v>
      </c>
    </row>
    <row r="70" spans="1:9" x14ac:dyDescent="0.35">
      <c r="A70" s="34">
        <v>45360</v>
      </c>
      <c r="B70" s="34" t="str">
        <f t="shared" si="3"/>
        <v>March</v>
      </c>
      <c r="C70" s="4" t="str">
        <f t="shared" si="2"/>
        <v>Saturday</v>
      </c>
      <c r="D70" s="5">
        <v>45360.578592685182</v>
      </c>
      <c r="E70" s="6" t="str" cm="1">
        <f t="array" ref="E70">_xlfn.IFS(HOUR(D70)&gt;=20,"20-24 ",HOUR(D70)&gt;=16,"16-20",HOUR(D70)&gt;=12,"12-16",HOUR(D70)&lt;12,"7-12")</f>
        <v>12-16</v>
      </c>
      <c r="F70" s="6" t="s">
        <v>3</v>
      </c>
      <c r="G70" s="6" t="s">
        <v>57</v>
      </c>
      <c r="H70" s="6">
        <v>28.9</v>
      </c>
      <c r="I70" s="6" t="s">
        <v>28</v>
      </c>
    </row>
    <row r="71" spans="1:9" x14ac:dyDescent="0.35">
      <c r="A71" s="34">
        <v>45360</v>
      </c>
      <c r="B71" s="34" t="str">
        <f t="shared" si="3"/>
        <v>March</v>
      </c>
      <c r="C71" s="4" t="str">
        <f t="shared" si="2"/>
        <v>Saturday</v>
      </c>
      <c r="D71" s="5">
        <v>45360.579592916663</v>
      </c>
      <c r="E71" s="6" t="str" cm="1">
        <f t="array" ref="E71">_xlfn.IFS(HOUR(D71)&gt;=20,"20-24 ",HOUR(D71)&gt;=16,"16-20",HOUR(D71)&gt;=12,"12-16",HOUR(D71)&lt;12,"7-12")</f>
        <v>12-16</v>
      </c>
      <c r="F71" s="6" t="s">
        <v>3</v>
      </c>
      <c r="G71" s="6" t="s">
        <v>57</v>
      </c>
      <c r="H71" s="6">
        <v>38.700000000000003</v>
      </c>
      <c r="I71" s="6" t="s">
        <v>43</v>
      </c>
    </row>
    <row r="72" spans="1:9" x14ac:dyDescent="0.35">
      <c r="A72" s="34">
        <v>45360</v>
      </c>
      <c r="B72" s="34" t="str">
        <f t="shared" si="3"/>
        <v>March</v>
      </c>
      <c r="C72" s="4" t="str">
        <f t="shared" si="2"/>
        <v>Saturday</v>
      </c>
      <c r="D72" s="5">
        <v>45360.588910057872</v>
      </c>
      <c r="E72" s="6" t="str" cm="1">
        <f t="array" ref="E72">_xlfn.IFS(HOUR(D72)&gt;=20,"20-24 ",HOUR(D72)&gt;=16,"16-20",HOUR(D72)&gt;=12,"12-16",HOUR(D72)&lt;12,"7-12")</f>
        <v>12-16</v>
      </c>
      <c r="F72" s="6" t="s">
        <v>3</v>
      </c>
      <c r="G72" s="6" t="s">
        <v>19</v>
      </c>
      <c r="H72" s="6">
        <v>33.799999999999997</v>
      </c>
      <c r="I72" s="6" t="s">
        <v>14</v>
      </c>
    </row>
    <row r="73" spans="1:9" x14ac:dyDescent="0.35">
      <c r="A73" s="34">
        <v>45360</v>
      </c>
      <c r="B73" s="34" t="str">
        <f t="shared" si="3"/>
        <v>March</v>
      </c>
      <c r="C73" s="4" t="str">
        <f t="shared" si="2"/>
        <v>Saturday</v>
      </c>
      <c r="D73" s="5">
        <v>45360.602000844905</v>
      </c>
      <c r="E73" s="6" t="str" cm="1">
        <f t="array" ref="E73">_xlfn.IFS(HOUR(D73)&gt;=20,"20-24 ",HOUR(D73)&gt;=16,"16-20",HOUR(D73)&gt;=12,"12-16",HOUR(D73)&lt;12,"7-12")</f>
        <v>12-16</v>
      </c>
      <c r="F73" s="6" t="s">
        <v>3</v>
      </c>
      <c r="G73" s="6" t="s">
        <v>58</v>
      </c>
      <c r="H73" s="6">
        <v>38.700000000000003</v>
      </c>
      <c r="I73" s="6" t="s">
        <v>9</v>
      </c>
    </row>
    <row r="74" spans="1:9" x14ac:dyDescent="0.35">
      <c r="A74" s="34">
        <v>45360</v>
      </c>
      <c r="B74" s="34" t="str">
        <f t="shared" si="3"/>
        <v>March</v>
      </c>
      <c r="C74" s="4" t="str">
        <f t="shared" si="2"/>
        <v>Saturday</v>
      </c>
      <c r="D74" s="5">
        <v>45360.804138564818</v>
      </c>
      <c r="E74" s="6" t="str" cm="1">
        <f t="array" ref="E74">_xlfn.IFS(HOUR(D74)&gt;=20,"20-24 ",HOUR(D74)&gt;=16,"16-20",HOUR(D74)&gt;=12,"12-16",HOUR(D74)&lt;12,"7-12")</f>
        <v>16-20</v>
      </c>
      <c r="F74" s="6" t="s">
        <v>3</v>
      </c>
      <c r="G74" s="6" t="s">
        <v>19</v>
      </c>
      <c r="H74" s="6">
        <v>38.700000000000003</v>
      </c>
      <c r="I74" s="6" t="s">
        <v>43</v>
      </c>
    </row>
    <row r="75" spans="1:9" x14ac:dyDescent="0.35">
      <c r="A75" s="34">
        <v>45360</v>
      </c>
      <c r="B75" s="34" t="str">
        <f t="shared" si="3"/>
        <v>March</v>
      </c>
      <c r="C75" s="4" t="str">
        <f t="shared" si="2"/>
        <v>Saturday</v>
      </c>
      <c r="D75" s="5">
        <v>45360.804977824075</v>
      </c>
      <c r="E75" s="6" t="str" cm="1">
        <f t="array" ref="E75">_xlfn.IFS(HOUR(D75)&gt;=20,"20-24 ",HOUR(D75)&gt;=16,"16-20",HOUR(D75)&gt;=12,"12-16",HOUR(D75)&lt;12,"7-12")</f>
        <v>16-20</v>
      </c>
      <c r="F75" s="6" t="s">
        <v>3</v>
      </c>
      <c r="G75" s="6" t="s">
        <v>19</v>
      </c>
      <c r="H75" s="6">
        <v>38.700000000000003</v>
      </c>
      <c r="I75" s="6" t="s">
        <v>9</v>
      </c>
    </row>
    <row r="76" spans="1:9" x14ac:dyDescent="0.35">
      <c r="A76" s="34">
        <v>45361</v>
      </c>
      <c r="B76" s="34" t="str">
        <f t="shared" si="3"/>
        <v>March</v>
      </c>
      <c r="C76" s="4" t="str">
        <f t="shared" si="2"/>
        <v>Sunday</v>
      </c>
      <c r="D76" s="5">
        <v>45361.322436782408</v>
      </c>
      <c r="E76" s="6" t="str" cm="1">
        <f t="array" ref="E76">_xlfn.IFS(HOUR(D76)&gt;=20,"20-24 ",HOUR(D76)&gt;=16,"16-20",HOUR(D76)&gt;=12,"12-16",HOUR(D76)&lt;12,"7-12")</f>
        <v>7-12</v>
      </c>
      <c r="F76" s="6" t="s">
        <v>21</v>
      </c>
      <c r="G76" s="6" t="s">
        <v>463</v>
      </c>
      <c r="H76" s="6">
        <v>30</v>
      </c>
      <c r="I76" s="6" t="s">
        <v>11</v>
      </c>
    </row>
    <row r="77" spans="1:9" x14ac:dyDescent="0.35">
      <c r="A77" s="34">
        <v>45361</v>
      </c>
      <c r="B77" s="34" t="str">
        <f t="shared" si="3"/>
        <v>March</v>
      </c>
      <c r="C77" s="4" t="str">
        <f t="shared" si="2"/>
        <v>Sunday</v>
      </c>
      <c r="D77" s="5">
        <v>45361.323257418982</v>
      </c>
      <c r="E77" s="6" t="str" cm="1">
        <f t="array" ref="E77">_xlfn.IFS(HOUR(D77)&gt;=20,"20-24 ",HOUR(D77)&gt;=16,"16-20",HOUR(D77)&gt;=12,"12-16",HOUR(D77)&lt;12,"7-12")</f>
        <v>7-12</v>
      </c>
      <c r="F77" s="6" t="s">
        <v>21</v>
      </c>
      <c r="G77" s="6" t="s">
        <v>463</v>
      </c>
      <c r="H77" s="6">
        <v>35</v>
      </c>
      <c r="I77" s="6" t="s">
        <v>14</v>
      </c>
    </row>
    <row r="78" spans="1:9" x14ac:dyDescent="0.35">
      <c r="A78" s="34">
        <v>45361</v>
      </c>
      <c r="B78" s="34" t="str">
        <f t="shared" si="3"/>
        <v>March</v>
      </c>
      <c r="C78" s="4" t="str">
        <f t="shared" si="2"/>
        <v>Sunday</v>
      </c>
      <c r="D78" s="5">
        <v>45361.420867592591</v>
      </c>
      <c r="E78" s="6" t="str" cm="1">
        <f t="array" ref="E78">_xlfn.IFS(HOUR(D78)&gt;=20,"20-24 ",HOUR(D78)&gt;=16,"16-20",HOUR(D78)&gt;=12,"12-16",HOUR(D78)&lt;12,"7-12")</f>
        <v>7-12</v>
      </c>
      <c r="F78" s="6" t="s">
        <v>21</v>
      </c>
      <c r="G78" s="6" t="s">
        <v>463</v>
      </c>
      <c r="H78" s="6">
        <v>40</v>
      </c>
      <c r="I78" s="6" t="s">
        <v>7</v>
      </c>
    </row>
    <row r="79" spans="1:9" x14ac:dyDescent="0.35">
      <c r="A79" s="34">
        <v>45361</v>
      </c>
      <c r="B79" s="34" t="str">
        <f t="shared" si="3"/>
        <v>March</v>
      </c>
      <c r="C79" s="4" t="str">
        <f t="shared" si="2"/>
        <v>Sunday</v>
      </c>
      <c r="D79" s="5">
        <v>45361.471768101852</v>
      </c>
      <c r="E79" s="6" t="str" cm="1">
        <f t="array" ref="E79">_xlfn.IFS(HOUR(D79)&gt;=20,"20-24 ",HOUR(D79)&gt;=16,"16-20",HOUR(D79)&gt;=12,"12-16",HOUR(D79)&lt;12,"7-12")</f>
        <v>7-12</v>
      </c>
      <c r="F79" s="6" t="s">
        <v>3</v>
      </c>
      <c r="G79" s="6" t="s">
        <v>59</v>
      </c>
      <c r="H79" s="6">
        <v>24</v>
      </c>
      <c r="I79" s="6" t="s">
        <v>35</v>
      </c>
    </row>
    <row r="80" spans="1:9" x14ac:dyDescent="0.35">
      <c r="A80" s="34">
        <v>45361</v>
      </c>
      <c r="B80" s="34" t="str">
        <f t="shared" si="3"/>
        <v>March</v>
      </c>
      <c r="C80" s="4" t="str">
        <f t="shared" si="2"/>
        <v>Sunday</v>
      </c>
      <c r="D80" s="5">
        <v>45361.74378527778</v>
      </c>
      <c r="E80" s="6" t="str" cm="1">
        <f t="array" ref="E80">_xlfn.IFS(HOUR(D80)&gt;=20,"20-24 ",HOUR(D80)&gt;=16,"16-20",HOUR(D80)&gt;=12,"12-16",HOUR(D80)&lt;12,"7-12")</f>
        <v>16-20</v>
      </c>
      <c r="F80" s="6" t="s">
        <v>21</v>
      </c>
      <c r="G80" s="6" t="s">
        <v>463</v>
      </c>
      <c r="H80" s="6">
        <v>35</v>
      </c>
      <c r="I80" s="6" t="s">
        <v>14</v>
      </c>
    </row>
    <row r="81" spans="1:9" x14ac:dyDescent="0.35">
      <c r="A81" s="34">
        <v>45361</v>
      </c>
      <c r="B81" s="34" t="str">
        <f t="shared" si="3"/>
        <v>March</v>
      </c>
      <c r="C81" s="4" t="str">
        <f t="shared" si="2"/>
        <v>Sunday</v>
      </c>
      <c r="D81" s="5">
        <v>45361.815283310185</v>
      </c>
      <c r="E81" s="6" t="str" cm="1">
        <f t="array" ref="E81">_xlfn.IFS(HOUR(D81)&gt;=20,"20-24 ",HOUR(D81)&gt;=16,"16-20",HOUR(D81)&gt;=12,"12-16",HOUR(D81)&lt;12,"7-12")</f>
        <v>16-20</v>
      </c>
      <c r="F81" s="6" t="s">
        <v>3</v>
      </c>
      <c r="G81" s="6" t="s">
        <v>60</v>
      </c>
      <c r="H81" s="6">
        <v>38.700000000000003</v>
      </c>
      <c r="I81" s="6" t="s">
        <v>7</v>
      </c>
    </row>
    <row r="82" spans="1:9" x14ac:dyDescent="0.35">
      <c r="A82" s="34">
        <v>45361</v>
      </c>
      <c r="B82" s="34" t="str">
        <f t="shared" si="3"/>
        <v>March</v>
      </c>
      <c r="C82" s="4" t="str">
        <f t="shared" si="2"/>
        <v>Sunday</v>
      </c>
      <c r="D82" s="5">
        <v>45361.816605462962</v>
      </c>
      <c r="E82" s="6" t="str" cm="1">
        <f t="array" ref="E82">_xlfn.IFS(HOUR(D82)&gt;=20,"20-24 ",HOUR(D82)&gt;=16,"16-20",HOUR(D82)&gt;=12,"12-16",HOUR(D82)&lt;12,"7-12")</f>
        <v>16-20</v>
      </c>
      <c r="F82" s="6" t="s">
        <v>3</v>
      </c>
      <c r="G82" s="6" t="s">
        <v>60</v>
      </c>
      <c r="H82" s="6">
        <v>28.9</v>
      </c>
      <c r="I82" s="6" t="s">
        <v>28</v>
      </c>
    </row>
    <row r="83" spans="1:9" x14ac:dyDescent="0.35">
      <c r="A83" s="34">
        <v>45362</v>
      </c>
      <c r="B83" s="34" t="str">
        <f t="shared" si="3"/>
        <v>March</v>
      </c>
      <c r="C83" s="4" t="str">
        <f t="shared" si="2"/>
        <v>Monday</v>
      </c>
      <c r="D83" s="5">
        <v>45362.429707453703</v>
      </c>
      <c r="E83" s="6" t="str" cm="1">
        <f t="array" ref="E83">_xlfn.IFS(HOUR(D83)&gt;=20,"20-24 ",HOUR(D83)&gt;=16,"16-20",HOUR(D83)&gt;=12,"12-16",HOUR(D83)&lt;12,"7-12")</f>
        <v>7-12</v>
      </c>
      <c r="F83" s="6" t="s">
        <v>21</v>
      </c>
      <c r="G83" s="6" t="s">
        <v>463</v>
      </c>
      <c r="H83" s="6">
        <v>40</v>
      </c>
      <c r="I83" s="6" t="s">
        <v>7</v>
      </c>
    </row>
    <row r="84" spans="1:9" x14ac:dyDescent="0.35">
      <c r="A84" s="34">
        <v>45362</v>
      </c>
      <c r="B84" s="34" t="str">
        <f t="shared" si="3"/>
        <v>March</v>
      </c>
      <c r="C84" s="4" t="str">
        <f t="shared" si="2"/>
        <v>Monday</v>
      </c>
      <c r="D84" s="5">
        <v>45362.475173865743</v>
      </c>
      <c r="E84" s="6" t="str" cm="1">
        <f t="array" ref="E84">_xlfn.IFS(HOUR(D84)&gt;=20,"20-24 ",HOUR(D84)&gt;=16,"16-20",HOUR(D84)&gt;=12,"12-16",HOUR(D84)&lt;12,"7-12")</f>
        <v>7-12</v>
      </c>
      <c r="F84" s="6" t="s">
        <v>21</v>
      </c>
      <c r="G84" s="6" t="s">
        <v>463</v>
      </c>
      <c r="H84" s="6">
        <v>40</v>
      </c>
      <c r="I84" s="6" t="s">
        <v>43</v>
      </c>
    </row>
    <row r="85" spans="1:9" x14ac:dyDescent="0.35">
      <c r="A85" s="34">
        <v>45362</v>
      </c>
      <c r="B85" s="34" t="str">
        <f t="shared" si="3"/>
        <v>March</v>
      </c>
      <c r="C85" s="4" t="str">
        <f t="shared" si="2"/>
        <v>Monday</v>
      </c>
      <c r="D85" s="5">
        <v>45362.47559681713</v>
      </c>
      <c r="E85" s="6" t="str" cm="1">
        <f t="array" ref="E85">_xlfn.IFS(HOUR(D85)&gt;=20,"20-24 ",HOUR(D85)&gt;=16,"16-20",HOUR(D85)&gt;=12,"12-16",HOUR(D85)&lt;12,"7-12")</f>
        <v>7-12</v>
      </c>
      <c r="F85" s="6" t="s">
        <v>21</v>
      </c>
      <c r="G85" s="6" t="s">
        <v>463</v>
      </c>
      <c r="H85" s="6">
        <v>30</v>
      </c>
      <c r="I85" s="6" t="s">
        <v>28</v>
      </c>
    </row>
    <row r="86" spans="1:9" x14ac:dyDescent="0.35">
      <c r="A86" s="34">
        <v>45362</v>
      </c>
      <c r="B86" s="34" t="str">
        <f t="shared" si="3"/>
        <v>March</v>
      </c>
      <c r="C86" s="4" t="str">
        <f t="shared" si="2"/>
        <v>Monday</v>
      </c>
      <c r="D86" s="5">
        <v>45362.476900706017</v>
      </c>
      <c r="E86" s="6" t="str" cm="1">
        <f t="array" ref="E86">_xlfn.IFS(HOUR(D86)&gt;=20,"20-24 ",HOUR(D86)&gt;=16,"16-20",HOUR(D86)&gt;=12,"12-16",HOUR(D86)&lt;12,"7-12")</f>
        <v>7-12</v>
      </c>
      <c r="F86" s="6" t="s">
        <v>21</v>
      </c>
      <c r="G86" s="6" t="s">
        <v>463</v>
      </c>
      <c r="H86" s="6">
        <v>30</v>
      </c>
      <c r="I86" s="6" t="s">
        <v>11</v>
      </c>
    </row>
    <row r="87" spans="1:9" x14ac:dyDescent="0.35">
      <c r="A87" s="34">
        <v>45362</v>
      </c>
      <c r="B87" s="34" t="str">
        <f t="shared" si="3"/>
        <v>March</v>
      </c>
      <c r="C87" s="4" t="str">
        <f t="shared" si="2"/>
        <v>Monday</v>
      </c>
      <c r="D87" s="5">
        <v>45362.481235891202</v>
      </c>
      <c r="E87" s="6" t="str" cm="1">
        <f t="array" ref="E87">_xlfn.IFS(HOUR(D87)&gt;=20,"20-24 ",HOUR(D87)&gt;=16,"16-20",HOUR(D87)&gt;=12,"12-16",HOUR(D87)&lt;12,"7-12")</f>
        <v>7-12</v>
      </c>
      <c r="F87" s="6" t="s">
        <v>3</v>
      </c>
      <c r="G87" s="6" t="s">
        <v>49</v>
      </c>
      <c r="H87" s="6">
        <v>38.700000000000003</v>
      </c>
      <c r="I87" s="6" t="s">
        <v>43</v>
      </c>
    </row>
    <row r="88" spans="1:9" x14ac:dyDescent="0.35">
      <c r="A88" s="34">
        <v>45362</v>
      </c>
      <c r="B88" s="34" t="str">
        <f t="shared" si="3"/>
        <v>March</v>
      </c>
      <c r="C88" s="4" t="str">
        <f t="shared" si="2"/>
        <v>Monday</v>
      </c>
      <c r="D88" s="5">
        <v>45362.68363890046</v>
      </c>
      <c r="E88" s="6" t="str" cm="1">
        <f t="array" ref="E88">_xlfn.IFS(HOUR(D88)&gt;=20,"20-24 ",HOUR(D88)&gt;=16,"16-20",HOUR(D88)&gt;=12,"12-16",HOUR(D88)&lt;12,"7-12")</f>
        <v>16-20</v>
      </c>
      <c r="F88" s="6" t="s">
        <v>3</v>
      </c>
      <c r="G88" s="6" t="s">
        <v>61</v>
      </c>
      <c r="H88" s="6">
        <v>28.9</v>
      </c>
      <c r="I88" s="6" t="s">
        <v>11</v>
      </c>
    </row>
    <row r="89" spans="1:9" x14ac:dyDescent="0.35">
      <c r="A89" s="34">
        <v>45362</v>
      </c>
      <c r="B89" s="34" t="str">
        <f t="shared" si="3"/>
        <v>March</v>
      </c>
      <c r="C89" s="4" t="str">
        <f t="shared" si="2"/>
        <v>Monday</v>
      </c>
      <c r="D89" s="5">
        <v>45362.684556296299</v>
      </c>
      <c r="E89" s="6" t="str" cm="1">
        <f t="array" ref="E89">_xlfn.IFS(HOUR(D89)&gt;=20,"20-24 ",HOUR(D89)&gt;=16,"16-20",HOUR(D89)&gt;=12,"12-16",HOUR(D89)&lt;12,"7-12")</f>
        <v>16-20</v>
      </c>
      <c r="F89" s="6" t="s">
        <v>3</v>
      </c>
      <c r="G89" s="6" t="s">
        <v>61</v>
      </c>
      <c r="H89" s="6">
        <v>38.700000000000003</v>
      </c>
      <c r="I89" s="6" t="s">
        <v>7</v>
      </c>
    </row>
    <row r="90" spans="1:9" x14ac:dyDescent="0.35">
      <c r="A90" s="34">
        <v>45362</v>
      </c>
      <c r="B90" s="34" t="str">
        <f t="shared" si="3"/>
        <v>March</v>
      </c>
      <c r="C90" s="4" t="str">
        <f t="shared" si="2"/>
        <v>Monday</v>
      </c>
      <c r="D90" s="5">
        <v>45362.701963055559</v>
      </c>
      <c r="E90" s="6" t="str" cm="1">
        <f t="array" ref="E90">_xlfn.IFS(HOUR(D90)&gt;=20,"20-24 ",HOUR(D90)&gt;=16,"16-20",HOUR(D90)&gt;=12,"12-16",HOUR(D90)&lt;12,"7-12")</f>
        <v>16-20</v>
      </c>
      <c r="F90" s="6" t="s">
        <v>3</v>
      </c>
      <c r="G90" s="6" t="s">
        <v>62</v>
      </c>
      <c r="H90" s="6">
        <v>28.9</v>
      </c>
      <c r="I90" s="6" t="s">
        <v>28</v>
      </c>
    </row>
    <row r="91" spans="1:9" x14ac:dyDescent="0.35">
      <c r="A91" s="34">
        <v>45363</v>
      </c>
      <c r="B91" s="34" t="str">
        <f t="shared" si="3"/>
        <v>March</v>
      </c>
      <c r="C91" s="4" t="str">
        <f t="shared" si="2"/>
        <v>Tuesday</v>
      </c>
      <c r="D91" s="5">
        <v>45363.427086770833</v>
      </c>
      <c r="E91" s="6" t="str" cm="1">
        <f t="array" ref="E91">_xlfn.IFS(HOUR(D91)&gt;=20,"20-24 ",HOUR(D91)&gt;=16,"16-20",HOUR(D91)&gt;=12,"12-16",HOUR(D91)&lt;12,"7-12")</f>
        <v>7-12</v>
      </c>
      <c r="F91" s="6" t="s">
        <v>21</v>
      </c>
      <c r="G91" s="6" t="s">
        <v>463</v>
      </c>
      <c r="H91" s="6">
        <v>40</v>
      </c>
      <c r="I91" s="6" t="s">
        <v>7</v>
      </c>
    </row>
    <row r="92" spans="1:9" x14ac:dyDescent="0.35">
      <c r="A92" s="34">
        <v>45363</v>
      </c>
      <c r="B92" s="34" t="str">
        <f t="shared" si="3"/>
        <v>March</v>
      </c>
      <c r="C92" s="4" t="str">
        <f t="shared" si="2"/>
        <v>Tuesday</v>
      </c>
      <c r="D92" s="5">
        <v>45363.427483136576</v>
      </c>
      <c r="E92" s="6" t="str" cm="1">
        <f t="array" ref="E92">_xlfn.IFS(HOUR(D92)&gt;=20,"20-24 ",HOUR(D92)&gt;=16,"16-20",HOUR(D92)&gt;=12,"12-16",HOUR(D92)&lt;12,"7-12")</f>
        <v>7-12</v>
      </c>
      <c r="F92" s="6" t="s">
        <v>3</v>
      </c>
      <c r="G92" s="6" t="s">
        <v>47</v>
      </c>
      <c r="H92" s="6">
        <v>28.9</v>
      </c>
      <c r="I92" s="6" t="s">
        <v>11</v>
      </c>
    </row>
    <row r="93" spans="1:9" x14ac:dyDescent="0.35">
      <c r="A93" s="34">
        <v>45363</v>
      </c>
      <c r="B93" s="34" t="str">
        <f t="shared" si="3"/>
        <v>March</v>
      </c>
      <c r="C93" s="4" t="str">
        <f t="shared" si="2"/>
        <v>Tuesday</v>
      </c>
      <c r="D93" s="5">
        <v>45363.428065810185</v>
      </c>
      <c r="E93" s="6" t="str" cm="1">
        <f t="array" ref="E93">_xlfn.IFS(HOUR(D93)&gt;=20,"20-24 ",HOUR(D93)&gt;=16,"16-20",HOUR(D93)&gt;=12,"12-16",HOUR(D93)&lt;12,"7-12")</f>
        <v>7-12</v>
      </c>
      <c r="F93" s="6" t="s">
        <v>3</v>
      </c>
      <c r="G93" s="6" t="s">
        <v>47</v>
      </c>
      <c r="H93" s="6">
        <v>28.9</v>
      </c>
      <c r="I93" s="6" t="s">
        <v>28</v>
      </c>
    </row>
    <row r="94" spans="1:9" x14ac:dyDescent="0.35">
      <c r="A94" s="34">
        <v>45363</v>
      </c>
      <c r="B94" s="34" t="str">
        <f t="shared" si="3"/>
        <v>March</v>
      </c>
      <c r="C94" s="4" t="str">
        <f t="shared" si="2"/>
        <v>Tuesday</v>
      </c>
      <c r="D94" s="5">
        <v>45363.472750370369</v>
      </c>
      <c r="E94" s="6" t="str" cm="1">
        <f t="array" ref="E94">_xlfn.IFS(HOUR(D94)&gt;=20,"20-24 ",HOUR(D94)&gt;=16,"16-20",HOUR(D94)&gt;=12,"12-16",HOUR(D94)&lt;12,"7-12")</f>
        <v>7-12</v>
      </c>
      <c r="F94" s="6" t="s">
        <v>3</v>
      </c>
      <c r="G94" s="6" t="s">
        <v>63</v>
      </c>
      <c r="H94" s="6">
        <v>38.700000000000003</v>
      </c>
      <c r="I94" s="6" t="s">
        <v>9</v>
      </c>
    </row>
    <row r="95" spans="1:9" x14ac:dyDescent="0.35">
      <c r="A95" s="34">
        <v>45363</v>
      </c>
      <c r="B95" s="34" t="str">
        <f t="shared" si="3"/>
        <v>March</v>
      </c>
      <c r="C95" s="4" t="str">
        <f t="shared" si="2"/>
        <v>Tuesday</v>
      </c>
      <c r="D95" s="5">
        <v>45363.532213831022</v>
      </c>
      <c r="E95" s="6" t="str" cm="1">
        <f t="array" ref="E95">_xlfn.IFS(HOUR(D95)&gt;=20,"20-24 ",HOUR(D95)&gt;=16,"16-20",HOUR(D95)&gt;=12,"12-16",HOUR(D95)&lt;12,"7-12")</f>
        <v>12-16</v>
      </c>
      <c r="F95" s="6" t="s">
        <v>3</v>
      </c>
      <c r="G95" s="6" t="s">
        <v>12</v>
      </c>
      <c r="H95" s="6">
        <v>33.799999999999997</v>
      </c>
      <c r="I95" s="6" t="s">
        <v>14</v>
      </c>
    </row>
    <row r="96" spans="1:9" x14ac:dyDescent="0.35">
      <c r="A96" s="34">
        <v>45363</v>
      </c>
      <c r="B96" s="34" t="str">
        <f t="shared" si="3"/>
        <v>March</v>
      </c>
      <c r="C96" s="4" t="str">
        <f t="shared" si="2"/>
        <v>Tuesday</v>
      </c>
      <c r="D96" s="5">
        <v>45363.532940127312</v>
      </c>
      <c r="E96" s="6" t="str" cm="1">
        <f t="array" ref="E96">_xlfn.IFS(HOUR(D96)&gt;=20,"20-24 ",HOUR(D96)&gt;=16,"16-20",HOUR(D96)&gt;=12,"12-16",HOUR(D96)&lt;12,"7-12")</f>
        <v>12-16</v>
      </c>
      <c r="F96" s="6" t="s">
        <v>3</v>
      </c>
      <c r="G96" s="6" t="s">
        <v>12</v>
      </c>
      <c r="H96" s="6">
        <v>28.9</v>
      </c>
      <c r="I96" s="6" t="s">
        <v>11</v>
      </c>
    </row>
    <row r="97" spans="1:9" x14ac:dyDescent="0.35">
      <c r="A97" s="34">
        <v>45363</v>
      </c>
      <c r="B97" s="34" t="str">
        <f t="shared" si="3"/>
        <v>March</v>
      </c>
      <c r="C97" s="4" t="str">
        <f t="shared" si="2"/>
        <v>Tuesday</v>
      </c>
      <c r="D97" s="5">
        <v>45363.677584780089</v>
      </c>
      <c r="E97" s="6" t="str" cm="1">
        <f t="array" ref="E97">_xlfn.IFS(HOUR(D97)&gt;=20,"20-24 ",HOUR(D97)&gt;=16,"16-20",HOUR(D97)&gt;=12,"12-16",HOUR(D97)&lt;12,"7-12")</f>
        <v>16-20</v>
      </c>
      <c r="F97" s="6" t="s">
        <v>3</v>
      </c>
      <c r="G97" s="6" t="s">
        <v>64</v>
      </c>
      <c r="H97" s="6">
        <v>28.9</v>
      </c>
      <c r="I97" s="6" t="s">
        <v>11</v>
      </c>
    </row>
    <row r="98" spans="1:9" x14ac:dyDescent="0.35">
      <c r="A98" s="34">
        <v>45364</v>
      </c>
      <c r="B98" s="34" t="str">
        <f t="shared" si="3"/>
        <v>March</v>
      </c>
      <c r="C98" s="4" t="str">
        <f t="shared" si="2"/>
        <v>Wednesday</v>
      </c>
      <c r="D98" s="5">
        <v>45364.462998124996</v>
      </c>
      <c r="E98" s="6" t="str" cm="1">
        <f t="array" ref="E98">_xlfn.IFS(HOUR(D98)&gt;=20,"20-24 ",HOUR(D98)&gt;=16,"16-20",HOUR(D98)&gt;=12,"12-16",HOUR(D98)&lt;12,"7-12")</f>
        <v>7-12</v>
      </c>
      <c r="F98" s="6" t="s">
        <v>3</v>
      </c>
      <c r="G98" s="6" t="s">
        <v>62</v>
      </c>
      <c r="H98" s="6">
        <v>38.700000000000003</v>
      </c>
      <c r="I98" s="6" t="s">
        <v>9</v>
      </c>
    </row>
    <row r="99" spans="1:9" x14ac:dyDescent="0.35">
      <c r="A99" s="34">
        <v>45364</v>
      </c>
      <c r="B99" s="34" t="str">
        <f t="shared" si="3"/>
        <v>March</v>
      </c>
      <c r="C99" s="4" t="str">
        <f t="shared" si="2"/>
        <v>Wednesday</v>
      </c>
      <c r="D99" s="5">
        <v>45364.491860567126</v>
      </c>
      <c r="E99" s="6" t="str" cm="1">
        <f t="array" ref="E99">_xlfn.IFS(HOUR(D99)&gt;=20,"20-24 ",HOUR(D99)&gt;=16,"16-20",HOUR(D99)&gt;=12,"12-16",HOUR(D99)&lt;12,"7-12")</f>
        <v>7-12</v>
      </c>
      <c r="F99" s="6" t="s">
        <v>3</v>
      </c>
      <c r="G99" s="6" t="s">
        <v>12</v>
      </c>
      <c r="H99" s="6">
        <v>28.9</v>
      </c>
      <c r="I99" s="6" t="s">
        <v>11</v>
      </c>
    </row>
    <row r="100" spans="1:9" x14ac:dyDescent="0.35">
      <c r="A100" s="34">
        <v>45364</v>
      </c>
      <c r="B100" s="34" t="str">
        <f t="shared" si="3"/>
        <v>March</v>
      </c>
      <c r="C100" s="4" t="str">
        <f t="shared" si="2"/>
        <v>Wednesday</v>
      </c>
      <c r="D100" s="5">
        <v>45364.512573333333</v>
      </c>
      <c r="E100" s="6" t="str" cm="1">
        <f t="array" ref="E100">_xlfn.IFS(HOUR(D100)&gt;=20,"20-24 ",HOUR(D100)&gt;=16,"16-20",HOUR(D100)&gt;=12,"12-16",HOUR(D100)&lt;12,"7-12")</f>
        <v>12-16</v>
      </c>
      <c r="F100" s="6" t="s">
        <v>3</v>
      </c>
      <c r="G100" s="6" t="s">
        <v>65</v>
      </c>
      <c r="H100" s="6">
        <v>28.9</v>
      </c>
      <c r="I100" s="6" t="s">
        <v>11</v>
      </c>
    </row>
    <row r="101" spans="1:9" x14ac:dyDescent="0.35">
      <c r="A101" s="34">
        <v>45364</v>
      </c>
      <c r="B101" s="34" t="str">
        <f t="shared" si="3"/>
        <v>March</v>
      </c>
      <c r="C101" s="4" t="str">
        <f t="shared" si="2"/>
        <v>Wednesday</v>
      </c>
      <c r="D101" s="5">
        <v>45364.513253796293</v>
      </c>
      <c r="E101" s="6" t="str" cm="1">
        <f t="array" ref="E101">_xlfn.IFS(HOUR(D101)&gt;=20,"20-24 ",HOUR(D101)&gt;=16,"16-20",HOUR(D101)&gt;=12,"12-16",HOUR(D101)&lt;12,"7-12")</f>
        <v>12-16</v>
      </c>
      <c r="F101" s="6" t="s">
        <v>3</v>
      </c>
      <c r="G101" s="6" t="s">
        <v>65</v>
      </c>
      <c r="H101" s="6">
        <v>28.9</v>
      </c>
      <c r="I101" s="6" t="s">
        <v>11</v>
      </c>
    </row>
    <row r="102" spans="1:9" x14ac:dyDescent="0.35">
      <c r="A102" s="34">
        <v>45364</v>
      </c>
      <c r="B102" s="34" t="str">
        <f t="shared" si="3"/>
        <v>March</v>
      </c>
      <c r="C102" s="4" t="str">
        <f t="shared" si="2"/>
        <v>Wednesday</v>
      </c>
      <c r="D102" s="5">
        <v>45364.523961979168</v>
      </c>
      <c r="E102" s="6" t="str" cm="1">
        <f t="array" ref="E102">_xlfn.IFS(HOUR(D102)&gt;=20,"20-24 ",HOUR(D102)&gt;=16,"16-20",HOUR(D102)&gt;=12,"12-16",HOUR(D102)&lt;12,"7-12")</f>
        <v>12-16</v>
      </c>
      <c r="F102" s="6" t="s">
        <v>21</v>
      </c>
      <c r="G102" s="6" t="s">
        <v>463</v>
      </c>
      <c r="H102" s="6">
        <v>25</v>
      </c>
      <c r="I102" s="6" t="s">
        <v>35</v>
      </c>
    </row>
    <row r="103" spans="1:9" x14ac:dyDescent="0.35">
      <c r="A103" s="34">
        <v>45364</v>
      </c>
      <c r="B103" s="34" t="str">
        <f t="shared" si="3"/>
        <v>March</v>
      </c>
      <c r="C103" s="4" t="str">
        <f t="shared" si="2"/>
        <v>Wednesday</v>
      </c>
      <c r="D103" s="5">
        <v>45364.601861979165</v>
      </c>
      <c r="E103" s="6" t="str" cm="1">
        <f t="array" ref="E103">_xlfn.IFS(HOUR(D103)&gt;=20,"20-24 ",HOUR(D103)&gt;=16,"16-20",HOUR(D103)&gt;=12,"12-16",HOUR(D103)&lt;12,"7-12")</f>
        <v>12-16</v>
      </c>
      <c r="F103" s="6" t="s">
        <v>3</v>
      </c>
      <c r="G103" s="6" t="s">
        <v>66</v>
      </c>
      <c r="H103" s="6">
        <v>33.799999999999997</v>
      </c>
      <c r="I103" s="6" t="s">
        <v>14</v>
      </c>
    </row>
    <row r="104" spans="1:9" x14ac:dyDescent="0.35">
      <c r="A104" s="34">
        <v>45364</v>
      </c>
      <c r="B104" s="34" t="str">
        <f t="shared" si="3"/>
        <v>March</v>
      </c>
      <c r="C104" s="4" t="str">
        <f t="shared" si="2"/>
        <v>Wednesday</v>
      </c>
      <c r="D104" s="5">
        <v>45364.653035428244</v>
      </c>
      <c r="E104" s="6" t="str" cm="1">
        <f t="array" ref="E104">_xlfn.IFS(HOUR(D104)&gt;=20,"20-24 ",HOUR(D104)&gt;=16,"16-20",HOUR(D104)&gt;=12,"12-16",HOUR(D104)&lt;12,"7-12")</f>
        <v>12-16</v>
      </c>
      <c r="F104" s="6" t="s">
        <v>3</v>
      </c>
      <c r="G104" s="6" t="s">
        <v>67</v>
      </c>
      <c r="H104" s="6">
        <v>24</v>
      </c>
      <c r="I104" s="6" t="s">
        <v>35</v>
      </c>
    </row>
    <row r="105" spans="1:9" x14ac:dyDescent="0.35">
      <c r="A105" s="34">
        <v>45364</v>
      </c>
      <c r="B105" s="34" t="str">
        <f t="shared" si="3"/>
        <v>March</v>
      </c>
      <c r="C105" s="4" t="str">
        <f t="shared" si="2"/>
        <v>Wednesday</v>
      </c>
      <c r="D105" s="5">
        <v>45364.653708611113</v>
      </c>
      <c r="E105" s="6" t="str" cm="1">
        <f t="array" ref="E105">_xlfn.IFS(HOUR(D105)&gt;=20,"20-24 ",HOUR(D105)&gt;=16,"16-20",HOUR(D105)&gt;=12,"12-16",HOUR(D105)&lt;12,"7-12")</f>
        <v>12-16</v>
      </c>
      <c r="F105" s="6" t="s">
        <v>3</v>
      </c>
      <c r="G105" s="6" t="s">
        <v>67</v>
      </c>
      <c r="H105" s="6">
        <v>24</v>
      </c>
      <c r="I105" s="6" t="s">
        <v>35</v>
      </c>
    </row>
    <row r="106" spans="1:9" x14ac:dyDescent="0.35">
      <c r="A106" s="34">
        <v>45364</v>
      </c>
      <c r="B106" s="34" t="str">
        <f t="shared" si="3"/>
        <v>March</v>
      </c>
      <c r="C106" s="4" t="str">
        <f t="shared" si="2"/>
        <v>Wednesday</v>
      </c>
      <c r="D106" s="5">
        <v>45364.699414039351</v>
      </c>
      <c r="E106" s="6" t="str" cm="1">
        <f t="array" ref="E106">_xlfn.IFS(HOUR(D106)&gt;=20,"20-24 ",HOUR(D106)&gt;=16,"16-20",HOUR(D106)&gt;=12,"12-16",HOUR(D106)&lt;12,"7-12")</f>
        <v>16-20</v>
      </c>
      <c r="F106" s="6" t="s">
        <v>3</v>
      </c>
      <c r="G106" s="6" t="s">
        <v>68</v>
      </c>
      <c r="H106" s="6">
        <v>24</v>
      </c>
      <c r="I106" s="6" t="s">
        <v>35</v>
      </c>
    </row>
    <row r="107" spans="1:9" x14ac:dyDescent="0.35">
      <c r="A107" s="34">
        <v>45365</v>
      </c>
      <c r="B107" s="34" t="str">
        <f t="shared" si="3"/>
        <v>March</v>
      </c>
      <c r="C107" s="4" t="str">
        <f t="shared" si="2"/>
        <v>Thursday</v>
      </c>
      <c r="D107" s="5">
        <v>45365.418197233797</v>
      </c>
      <c r="E107" s="6" t="str" cm="1">
        <f t="array" ref="E107">_xlfn.IFS(HOUR(D107)&gt;=20,"20-24 ",HOUR(D107)&gt;=16,"16-20",HOUR(D107)&gt;=12,"12-16",HOUR(D107)&lt;12,"7-12")</f>
        <v>7-12</v>
      </c>
      <c r="F107" s="6" t="s">
        <v>21</v>
      </c>
      <c r="G107" s="6" t="s">
        <v>463</v>
      </c>
      <c r="H107" s="6">
        <v>40</v>
      </c>
      <c r="I107" s="6" t="s">
        <v>7</v>
      </c>
    </row>
    <row r="108" spans="1:9" x14ac:dyDescent="0.35">
      <c r="A108" s="34">
        <v>45365</v>
      </c>
      <c r="B108" s="34" t="str">
        <f t="shared" si="3"/>
        <v>March</v>
      </c>
      <c r="C108" s="4" t="str">
        <f t="shared" si="2"/>
        <v>Thursday</v>
      </c>
      <c r="D108" s="5">
        <v>45365.436493252317</v>
      </c>
      <c r="E108" s="6" t="str" cm="1">
        <f t="array" ref="E108">_xlfn.IFS(HOUR(D108)&gt;=20,"20-24 ",HOUR(D108)&gt;=16,"16-20",HOUR(D108)&gt;=12,"12-16",HOUR(D108)&lt;12,"7-12")</f>
        <v>7-12</v>
      </c>
      <c r="F108" s="6" t="s">
        <v>3</v>
      </c>
      <c r="G108" s="6" t="s">
        <v>69</v>
      </c>
      <c r="H108" s="6">
        <v>38.700000000000003</v>
      </c>
      <c r="I108" s="6" t="s">
        <v>7</v>
      </c>
    </row>
    <row r="109" spans="1:9" x14ac:dyDescent="0.35">
      <c r="A109" s="34">
        <v>45365</v>
      </c>
      <c r="B109" s="34" t="str">
        <f t="shared" si="3"/>
        <v>March</v>
      </c>
      <c r="C109" s="4" t="str">
        <f t="shared" si="2"/>
        <v>Thursday</v>
      </c>
      <c r="D109" s="5">
        <v>45365.437202349538</v>
      </c>
      <c r="E109" s="6" t="str" cm="1">
        <f t="array" ref="E109">_xlfn.IFS(HOUR(D109)&gt;=20,"20-24 ",HOUR(D109)&gt;=16,"16-20",HOUR(D109)&gt;=12,"12-16",HOUR(D109)&lt;12,"7-12")</f>
        <v>7-12</v>
      </c>
      <c r="F109" s="6" t="s">
        <v>3</v>
      </c>
      <c r="G109" s="6" t="s">
        <v>69</v>
      </c>
      <c r="H109" s="6">
        <v>38.700000000000003</v>
      </c>
      <c r="I109" s="6" t="s">
        <v>9</v>
      </c>
    </row>
    <row r="110" spans="1:9" x14ac:dyDescent="0.35">
      <c r="A110" s="34">
        <v>45365</v>
      </c>
      <c r="B110" s="34" t="str">
        <f t="shared" si="3"/>
        <v>March</v>
      </c>
      <c r="C110" s="4" t="str">
        <f t="shared" si="2"/>
        <v>Thursday</v>
      </c>
      <c r="D110" s="5">
        <v>45365.560758518521</v>
      </c>
      <c r="E110" s="6" t="str" cm="1">
        <f t="array" ref="E110">_xlfn.IFS(HOUR(D110)&gt;=20,"20-24 ",HOUR(D110)&gt;=16,"16-20",HOUR(D110)&gt;=12,"12-16",HOUR(D110)&lt;12,"7-12")</f>
        <v>12-16</v>
      </c>
      <c r="F110" s="6" t="s">
        <v>3</v>
      </c>
      <c r="G110" s="6" t="s">
        <v>23</v>
      </c>
      <c r="H110" s="6">
        <v>28.9</v>
      </c>
      <c r="I110" s="6" t="s">
        <v>28</v>
      </c>
    </row>
    <row r="111" spans="1:9" x14ac:dyDescent="0.35">
      <c r="A111" s="34">
        <v>45365</v>
      </c>
      <c r="B111" s="34" t="str">
        <f t="shared" si="3"/>
        <v>March</v>
      </c>
      <c r="C111" s="4" t="str">
        <f t="shared" si="2"/>
        <v>Thursday</v>
      </c>
      <c r="D111" s="5">
        <v>45365.561394988428</v>
      </c>
      <c r="E111" s="6" t="str" cm="1">
        <f t="array" ref="E111">_xlfn.IFS(HOUR(D111)&gt;=20,"20-24 ",HOUR(D111)&gt;=16,"16-20",HOUR(D111)&gt;=12,"12-16",HOUR(D111)&lt;12,"7-12")</f>
        <v>12-16</v>
      </c>
      <c r="F111" s="6" t="s">
        <v>3</v>
      </c>
      <c r="G111" s="6" t="s">
        <v>23</v>
      </c>
      <c r="H111" s="6">
        <v>28.9</v>
      </c>
      <c r="I111" s="6" t="s">
        <v>11</v>
      </c>
    </row>
    <row r="112" spans="1:9" x14ac:dyDescent="0.35">
      <c r="A112" s="34">
        <v>45365</v>
      </c>
      <c r="B112" s="34" t="str">
        <f t="shared" si="3"/>
        <v>March</v>
      </c>
      <c r="C112" s="4" t="str">
        <f t="shared" si="2"/>
        <v>Thursday</v>
      </c>
      <c r="D112" s="5">
        <v>45365.577776678241</v>
      </c>
      <c r="E112" s="6" t="str" cm="1">
        <f t="array" ref="E112">_xlfn.IFS(HOUR(D112)&gt;=20,"20-24 ",HOUR(D112)&gt;=16,"16-20",HOUR(D112)&gt;=12,"12-16",HOUR(D112)&lt;12,"7-12")</f>
        <v>12-16</v>
      </c>
      <c r="F112" s="6" t="s">
        <v>3</v>
      </c>
      <c r="G112" s="6" t="s">
        <v>70</v>
      </c>
      <c r="H112" s="6">
        <v>33.799999999999997</v>
      </c>
      <c r="I112" s="6" t="s">
        <v>14</v>
      </c>
    </row>
    <row r="113" spans="1:9" x14ac:dyDescent="0.35">
      <c r="A113" s="34">
        <v>45365</v>
      </c>
      <c r="B113" s="34" t="str">
        <f t="shared" si="3"/>
        <v>March</v>
      </c>
      <c r="C113" s="4" t="str">
        <f t="shared" si="2"/>
        <v>Thursday</v>
      </c>
      <c r="D113" s="5">
        <v>45365.578428796296</v>
      </c>
      <c r="E113" s="6" t="str" cm="1">
        <f t="array" ref="E113">_xlfn.IFS(HOUR(D113)&gt;=20,"20-24 ",HOUR(D113)&gt;=16,"16-20",HOUR(D113)&gt;=12,"12-16",HOUR(D113)&lt;12,"7-12")</f>
        <v>12-16</v>
      </c>
      <c r="F113" s="6" t="s">
        <v>3</v>
      </c>
      <c r="G113" s="6" t="s">
        <v>71</v>
      </c>
      <c r="H113" s="6">
        <v>24</v>
      </c>
      <c r="I113" s="6" t="s">
        <v>35</v>
      </c>
    </row>
    <row r="114" spans="1:9" x14ac:dyDescent="0.35">
      <c r="A114" s="34">
        <v>45365</v>
      </c>
      <c r="B114" s="34" t="str">
        <f t="shared" si="3"/>
        <v>March</v>
      </c>
      <c r="C114" s="4" t="str">
        <f t="shared" si="2"/>
        <v>Thursday</v>
      </c>
      <c r="D114" s="5">
        <v>45365.639332951388</v>
      </c>
      <c r="E114" s="6" t="str" cm="1">
        <f t="array" ref="E114">_xlfn.IFS(HOUR(D114)&gt;=20,"20-24 ",HOUR(D114)&gt;=16,"16-20",HOUR(D114)&gt;=12,"12-16",HOUR(D114)&lt;12,"7-12")</f>
        <v>12-16</v>
      </c>
      <c r="F114" s="6" t="s">
        <v>3</v>
      </c>
      <c r="G114" s="6" t="s">
        <v>72</v>
      </c>
      <c r="H114" s="6">
        <v>38.700000000000003</v>
      </c>
      <c r="I114" s="6" t="s">
        <v>7</v>
      </c>
    </row>
    <row r="115" spans="1:9" x14ac:dyDescent="0.35">
      <c r="A115" s="34">
        <v>45365</v>
      </c>
      <c r="B115" s="34" t="str">
        <f t="shared" si="3"/>
        <v>March</v>
      </c>
      <c r="C115" s="4" t="str">
        <f t="shared" si="2"/>
        <v>Thursday</v>
      </c>
      <c r="D115" s="5">
        <v>45365.669554467589</v>
      </c>
      <c r="E115" s="6" t="str" cm="1">
        <f t="array" ref="E115">_xlfn.IFS(HOUR(D115)&gt;=20,"20-24 ",HOUR(D115)&gt;=16,"16-20",HOUR(D115)&gt;=12,"12-16",HOUR(D115)&lt;12,"7-12")</f>
        <v>16-20</v>
      </c>
      <c r="F115" s="6" t="s">
        <v>3</v>
      </c>
      <c r="G115" s="6" t="s">
        <v>73</v>
      </c>
      <c r="H115" s="6">
        <v>33.799999999999997</v>
      </c>
      <c r="I115" s="6" t="s">
        <v>14</v>
      </c>
    </row>
    <row r="116" spans="1:9" x14ac:dyDescent="0.35">
      <c r="A116" s="34">
        <v>45365</v>
      </c>
      <c r="B116" s="34" t="str">
        <f t="shared" si="3"/>
        <v>March</v>
      </c>
      <c r="C116" s="4" t="str">
        <f t="shared" si="2"/>
        <v>Thursday</v>
      </c>
      <c r="D116" s="5">
        <v>45365.704608819447</v>
      </c>
      <c r="E116" s="6" t="str" cm="1">
        <f t="array" ref="E116">_xlfn.IFS(HOUR(D116)&gt;=20,"20-24 ",HOUR(D116)&gt;=16,"16-20",HOUR(D116)&gt;=12,"12-16",HOUR(D116)&lt;12,"7-12")</f>
        <v>16-20</v>
      </c>
      <c r="F116" s="6" t="s">
        <v>3</v>
      </c>
      <c r="G116" s="6" t="s">
        <v>64</v>
      </c>
      <c r="H116" s="6">
        <v>24</v>
      </c>
      <c r="I116" s="6" t="s">
        <v>35</v>
      </c>
    </row>
    <row r="117" spans="1:9" x14ac:dyDescent="0.35">
      <c r="A117" s="34">
        <v>45365</v>
      </c>
      <c r="B117" s="34" t="str">
        <f t="shared" si="3"/>
        <v>March</v>
      </c>
      <c r="C117" s="4" t="str">
        <f t="shared" si="2"/>
        <v>Thursday</v>
      </c>
      <c r="D117" s="5">
        <v>45365.790924236113</v>
      </c>
      <c r="E117" s="6" t="str" cm="1">
        <f t="array" ref="E117">_xlfn.IFS(HOUR(D117)&gt;=20,"20-24 ",HOUR(D117)&gt;=16,"16-20",HOUR(D117)&gt;=12,"12-16",HOUR(D117)&lt;12,"7-12")</f>
        <v>16-20</v>
      </c>
      <c r="F117" s="6" t="s">
        <v>3</v>
      </c>
      <c r="G117" s="6" t="s">
        <v>31</v>
      </c>
      <c r="H117" s="6">
        <v>38.700000000000003</v>
      </c>
      <c r="I117" s="6" t="s">
        <v>9</v>
      </c>
    </row>
    <row r="118" spans="1:9" x14ac:dyDescent="0.35">
      <c r="A118" s="34">
        <v>45365</v>
      </c>
      <c r="B118" s="34" t="str">
        <f t="shared" si="3"/>
        <v>March</v>
      </c>
      <c r="C118" s="4" t="str">
        <f t="shared" si="2"/>
        <v>Thursday</v>
      </c>
      <c r="D118" s="5">
        <v>45365.791766932867</v>
      </c>
      <c r="E118" s="6" t="str" cm="1">
        <f t="array" ref="E118">_xlfn.IFS(HOUR(D118)&gt;=20,"20-24 ",HOUR(D118)&gt;=16,"16-20",HOUR(D118)&gt;=12,"12-16",HOUR(D118)&lt;12,"7-12")</f>
        <v>16-20</v>
      </c>
      <c r="F118" s="6" t="s">
        <v>3</v>
      </c>
      <c r="G118" s="6" t="s">
        <v>23</v>
      </c>
      <c r="H118" s="6">
        <v>28.9</v>
      </c>
      <c r="I118" s="6" t="s">
        <v>28</v>
      </c>
    </row>
    <row r="119" spans="1:9" x14ac:dyDescent="0.35">
      <c r="A119" s="34">
        <v>45366</v>
      </c>
      <c r="B119" s="34" t="str">
        <f t="shared" si="3"/>
        <v>March</v>
      </c>
      <c r="C119" s="4" t="str">
        <f t="shared" si="2"/>
        <v>Friday</v>
      </c>
      <c r="D119" s="5">
        <v>45366.418246909721</v>
      </c>
      <c r="E119" s="6" t="str" cm="1">
        <f t="array" ref="E119">_xlfn.IFS(HOUR(D119)&gt;=20,"20-24 ",HOUR(D119)&gt;=16,"16-20",HOUR(D119)&gt;=12,"12-16",HOUR(D119)&lt;12,"7-12")</f>
        <v>7-12</v>
      </c>
      <c r="F119" s="6" t="s">
        <v>21</v>
      </c>
      <c r="G119" s="6" t="s">
        <v>463</v>
      </c>
      <c r="H119" s="6">
        <v>40</v>
      </c>
      <c r="I119" s="6" t="s">
        <v>7</v>
      </c>
    </row>
    <row r="120" spans="1:9" x14ac:dyDescent="0.35">
      <c r="A120" s="34">
        <v>45366</v>
      </c>
      <c r="B120" s="34" t="str">
        <f t="shared" si="3"/>
        <v>March</v>
      </c>
      <c r="C120" s="4" t="str">
        <f t="shared" si="2"/>
        <v>Friday</v>
      </c>
      <c r="D120" s="5">
        <v>45366.453497453702</v>
      </c>
      <c r="E120" s="6" t="str" cm="1">
        <f t="array" ref="E120">_xlfn.IFS(HOUR(D120)&gt;=20,"20-24 ",HOUR(D120)&gt;=16,"16-20",HOUR(D120)&gt;=12,"12-16",HOUR(D120)&lt;12,"7-12")</f>
        <v>7-12</v>
      </c>
      <c r="F120" s="6" t="s">
        <v>3</v>
      </c>
      <c r="G120" s="6" t="s">
        <v>74</v>
      </c>
      <c r="H120" s="6">
        <v>38.700000000000003</v>
      </c>
      <c r="I120" s="6" t="s">
        <v>9</v>
      </c>
    </row>
    <row r="121" spans="1:9" x14ac:dyDescent="0.35">
      <c r="A121" s="34">
        <v>45366</v>
      </c>
      <c r="B121" s="34" t="str">
        <f t="shared" si="3"/>
        <v>March</v>
      </c>
      <c r="C121" s="4" t="str">
        <f t="shared" si="2"/>
        <v>Friday</v>
      </c>
      <c r="D121" s="5">
        <v>45366.763517615742</v>
      </c>
      <c r="E121" s="6" t="str" cm="1">
        <f t="array" ref="E121">_xlfn.IFS(HOUR(D121)&gt;=20,"20-24 ",HOUR(D121)&gt;=16,"16-20",HOUR(D121)&gt;=12,"12-16",HOUR(D121)&lt;12,"7-12")</f>
        <v>16-20</v>
      </c>
      <c r="F121" s="6" t="s">
        <v>3</v>
      </c>
      <c r="G121" s="6" t="s">
        <v>23</v>
      </c>
      <c r="H121" s="6">
        <v>28.9</v>
      </c>
      <c r="I121" s="6" t="s">
        <v>11</v>
      </c>
    </row>
    <row r="122" spans="1:9" x14ac:dyDescent="0.35">
      <c r="A122" s="34">
        <v>45367</v>
      </c>
      <c r="B122" s="34" t="str">
        <f t="shared" si="3"/>
        <v>March</v>
      </c>
      <c r="C122" s="4" t="str">
        <f t="shared" si="2"/>
        <v>Saturday</v>
      </c>
      <c r="D122" s="5">
        <v>45367.504805659722</v>
      </c>
      <c r="E122" s="6" t="str" cm="1">
        <f t="array" ref="E122">_xlfn.IFS(HOUR(D122)&gt;=20,"20-24 ",HOUR(D122)&gt;=16,"16-20",HOUR(D122)&gt;=12,"12-16",HOUR(D122)&lt;12,"7-12")</f>
        <v>12-16</v>
      </c>
      <c r="F122" s="6" t="s">
        <v>3</v>
      </c>
      <c r="G122" s="6" t="s">
        <v>75</v>
      </c>
      <c r="H122" s="6">
        <v>33.799999999999997</v>
      </c>
      <c r="I122" s="6" t="s">
        <v>14</v>
      </c>
    </row>
    <row r="123" spans="1:9" x14ac:dyDescent="0.35">
      <c r="A123" s="34">
        <v>45367</v>
      </c>
      <c r="B123" s="34" t="str">
        <f t="shared" si="3"/>
        <v>March</v>
      </c>
      <c r="C123" s="4" t="str">
        <f t="shared" si="2"/>
        <v>Saturday</v>
      </c>
      <c r="D123" s="5">
        <v>45367.505485127316</v>
      </c>
      <c r="E123" s="6" t="str" cm="1">
        <f t="array" ref="E123">_xlfn.IFS(HOUR(D123)&gt;=20,"20-24 ",HOUR(D123)&gt;=16,"16-20",HOUR(D123)&gt;=12,"12-16",HOUR(D123)&lt;12,"7-12")</f>
        <v>12-16</v>
      </c>
      <c r="F123" s="6" t="s">
        <v>3</v>
      </c>
      <c r="G123" s="6" t="s">
        <v>75</v>
      </c>
      <c r="H123" s="6">
        <v>28.9</v>
      </c>
      <c r="I123" s="6" t="s">
        <v>11</v>
      </c>
    </row>
    <row r="124" spans="1:9" x14ac:dyDescent="0.35">
      <c r="A124" s="34">
        <v>45367</v>
      </c>
      <c r="B124" s="34" t="str">
        <f t="shared" si="3"/>
        <v>March</v>
      </c>
      <c r="C124" s="4" t="str">
        <f t="shared" si="2"/>
        <v>Saturday</v>
      </c>
      <c r="D124" s="5">
        <v>45367.665491412037</v>
      </c>
      <c r="E124" s="6" t="str" cm="1">
        <f t="array" ref="E124">_xlfn.IFS(HOUR(D124)&gt;=20,"20-24 ",HOUR(D124)&gt;=16,"16-20",HOUR(D124)&gt;=12,"12-16",HOUR(D124)&lt;12,"7-12")</f>
        <v>12-16</v>
      </c>
      <c r="F124" s="6" t="s">
        <v>3</v>
      </c>
      <c r="G124" s="6" t="s">
        <v>19</v>
      </c>
      <c r="H124" s="6">
        <v>28.9</v>
      </c>
      <c r="I124" s="6" t="s">
        <v>28</v>
      </c>
    </row>
    <row r="125" spans="1:9" x14ac:dyDescent="0.35">
      <c r="A125" s="34">
        <v>45367</v>
      </c>
      <c r="B125" s="34" t="str">
        <f t="shared" si="3"/>
        <v>March</v>
      </c>
      <c r="C125" s="4" t="str">
        <f t="shared" si="2"/>
        <v>Saturday</v>
      </c>
      <c r="D125" s="5">
        <v>45367.66900159722</v>
      </c>
      <c r="E125" s="6" t="str" cm="1">
        <f t="array" ref="E125">_xlfn.IFS(HOUR(D125)&gt;=20,"20-24 ",HOUR(D125)&gt;=16,"16-20",HOUR(D125)&gt;=12,"12-16",HOUR(D125)&lt;12,"7-12")</f>
        <v>16-20</v>
      </c>
      <c r="F125" s="6" t="s">
        <v>3</v>
      </c>
      <c r="G125" s="6" t="s">
        <v>19</v>
      </c>
      <c r="H125" s="6">
        <v>28.9</v>
      </c>
      <c r="I125" s="6" t="s">
        <v>28</v>
      </c>
    </row>
    <row r="126" spans="1:9" x14ac:dyDescent="0.35">
      <c r="A126" s="34">
        <v>45367</v>
      </c>
      <c r="B126" s="34" t="str">
        <f t="shared" si="3"/>
        <v>March</v>
      </c>
      <c r="C126" s="4" t="str">
        <f t="shared" si="2"/>
        <v>Saturday</v>
      </c>
      <c r="D126" s="5">
        <v>45367.669576898152</v>
      </c>
      <c r="E126" s="6" t="str" cm="1">
        <f t="array" ref="E126">_xlfn.IFS(HOUR(D126)&gt;=20,"20-24 ",HOUR(D126)&gt;=16,"16-20",HOUR(D126)&gt;=12,"12-16",HOUR(D126)&lt;12,"7-12")</f>
        <v>16-20</v>
      </c>
      <c r="F126" s="6" t="s">
        <v>3</v>
      </c>
      <c r="G126" s="6" t="s">
        <v>23</v>
      </c>
      <c r="H126" s="6">
        <v>28.9</v>
      </c>
      <c r="I126" s="6" t="s">
        <v>28</v>
      </c>
    </row>
    <row r="127" spans="1:9" x14ac:dyDescent="0.35">
      <c r="A127" s="34">
        <v>45367</v>
      </c>
      <c r="B127" s="34" t="str">
        <f t="shared" si="3"/>
        <v>March</v>
      </c>
      <c r="C127" s="4" t="str">
        <f t="shared" si="2"/>
        <v>Saturday</v>
      </c>
      <c r="D127" s="5">
        <v>45367.748694918984</v>
      </c>
      <c r="E127" s="6" t="str" cm="1">
        <f t="array" ref="E127">_xlfn.IFS(HOUR(D127)&gt;=20,"20-24 ",HOUR(D127)&gt;=16,"16-20",HOUR(D127)&gt;=12,"12-16",HOUR(D127)&lt;12,"7-12")</f>
        <v>16-20</v>
      </c>
      <c r="F127" s="6" t="s">
        <v>3</v>
      </c>
      <c r="G127" s="6" t="s">
        <v>76</v>
      </c>
      <c r="H127" s="6">
        <v>33.799999999999997</v>
      </c>
      <c r="I127" s="6" t="s">
        <v>14</v>
      </c>
    </row>
    <row r="128" spans="1:9" x14ac:dyDescent="0.35">
      <c r="A128" s="34">
        <v>45368</v>
      </c>
      <c r="B128" s="34" t="str">
        <f t="shared" si="3"/>
        <v>March</v>
      </c>
      <c r="C128" s="4" t="str">
        <f t="shared" si="2"/>
        <v>Sunday</v>
      </c>
      <c r="D128" s="5">
        <v>45368.423858784721</v>
      </c>
      <c r="E128" s="6" t="str" cm="1">
        <f t="array" ref="E128">_xlfn.IFS(HOUR(D128)&gt;=20,"20-24 ",HOUR(D128)&gt;=16,"16-20",HOUR(D128)&gt;=12,"12-16",HOUR(D128)&lt;12,"7-12")</f>
        <v>7-12</v>
      </c>
      <c r="F128" s="6" t="s">
        <v>21</v>
      </c>
      <c r="G128" s="6" t="s">
        <v>463</v>
      </c>
      <c r="H128" s="6">
        <v>40</v>
      </c>
      <c r="I128" s="6" t="s">
        <v>7</v>
      </c>
    </row>
    <row r="129" spans="1:9" x14ac:dyDescent="0.35">
      <c r="A129" s="34">
        <v>45368</v>
      </c>
      <c r="B129" s="34" t="str">
        <f t="shared" si="3"/>
        <v>March</v>
      </c>
      <c r="C129" s="4" t="str">
        <f t="shared" si="2"/>
        <v>Sunday</v>
      </c>
      <c r="D129" s="5">
        <v>45368.538496122688</v>
      </c>
      <c r="E129" s="6" t="str" cm="1">
        <f t="array" ref="E129">_xlfn.IFS(HOUR(D129)&gt;=20,"20-24 ",HOUR(D129)&gt;=16,"16-20",HOUR(D129)&gt;=12,"12-16",HOUR(D129)&lt;12,"7-12")</f>
        <v>12-16</v>
      </c>
      <c r="F129" s="6" t="s">
        <v>3</v>
      </c>
      <c r="G129" s="6" t="s">
        <v>77</v>
      </c>
      <c r="H129" s="6">
        <v>28.9</v>
      </c>
      <c r="I129" s="6" t="s">
        <v>28</v>
      </c>
    </row>
    <row r="130" spans="1:9" x14ac:dyDescent="0.35">
      <c r="A130" s="34">
        <v>45369</v>
      </c>
      <c r="B130" s="34" t="str">
        <f t="shared" si="3"/>
        <v>March</v>
      </c>
      <c r="C130" s="4" t="str">
        <f t="shared" ref="C130:C193" si="4">TEXT(A130,"ddddddddd")</f>
        <v>Monday</v>
      </c>
      <c r="D130" s="5">
        <v>45369.47082952546</v>
      </c>
      <c r="E130" s="6" t="str" cm="1">
        <f t="array" ref="E130">_xlfn.IFS(HOUR(D130)&gt;=20,"20-24 ",HOUR(D130)&gt;=16,"16-20",HOUR(D130)&gt;=12,"12-16",HOUR(D130)&lt;12,"7-12")</f>
        <v>7-12</v>
      </c>
      <c r="F130" s="6" t="s">
        <v>3</v>
      </c>
      <c r="G130" s="6" t="s">
        <v>78</v>
      </c>
      <c r="H130" s="6">
        <v>28.9</v>
      </c>
      <c r="I130" s="6" t="s">
        <v>28</v>
      </c>
    </row>
    <row r="131" spans="1:9" x14ac:dyDescent="0.35">
      <c r="A131" s="34">
        <v>45369</v>
      </c>
      <c r="B131" s="34" t="str">
        <f t="shared" ref="B131:B194" si="5">TEXT(A131, "mmmm")</f>
        <v>March</v>
      </c>
      <c r="C131" s="4" t="str">
        <f t="shared" si="4"/>
        <v>Monday</v>
      </c>
      <c r="D131" s="5">
        <v>45369.64698755787</v>
      </c>
      <c r="E131" s="6" t="str" cm="1">
        <f t="array" ref="E131">_xlfn.IFS(HOUR(D131)&gt;=20,"20-24 ",HOUR(D131)&gt;=16,"16-20",HOUR(D131)&gt;=12,"12-16",HOUR(D131)&lt;12,"7-12")</f>
        <v>12-16</v>
      </c>
      <c r="F131" s="6" t="s">
        <v>3</v>
      </c>
      <c r="G131" s="6" t="s">
        <v>10</v>
      </c>
      <c r="H131" s="6">
        <v>28.9</v>
      </c>
      <c r="I131" s="6" t="s">
        <v>11</v>
      </c>
    </row>
    <row r="132" spans="1:9" x14ac:dyDescent="0.35">
      <c r="A132" s="34">
        <v>45369</v>
      </c>
      <c r="B132" s="34" t="str">
        <f t="shared" si="5"/>
        <v>March</v>
      </c>
      <c r="C132" s="4" t="str">
        <f t="shared" si="4"/>
        <v>Monday</v>
      </c>
      <c r="D132" s="5">
        <v>45369.64766480324</v>
      </c>
      <c r="E132" s="6" t="str" cm="1">
        <f t="array" ref="E132">_xlfn.IFS(HOUR(D132)&gt;=20,"20-24 ",HOUR(D132)&gt;=16,"16-20",HOUR(D132)&gt;=12,"12-16",HOUR(D132)&lt;12,"7-12")</f>
        <v>12-16</v>
      </c>
      <c r="F132" s="6" t="s">
        <v>3</v>
      </c>
      <c r="G132" s="6" t="s">
        <v>10</v>
      </c>
      <c r="H132" s="6">
        <v>28.9</v>
      </c>
      <c r="I132" s="6" t="s">
        <v>11</v>
      </c>
    </row>
    <row r="133" spans="1:9" x14ac:dyDescent="0.35">
      <c r="A133" s="34">
        <v>45369</v>
      </c>
      <c r="B133" s="34" t="str">
        <f t="shared" si="5"/>
        <v>March</v>
      </c>
      <c r="C133" s="4" t="str">
        <f t="shared" si="4"/>
        <v>Monday</v>
      </c>
      <c r="D133" s="5">
        <v>45369.648341527776</v>
      </c>
      <c r="E133" s="6" t="str" cm="1">
        <f t="array" ref="E133">_xlfn.IFS(HOUR(D133)&gt;=20,"20-24 ",HOUR(D133)&gt;=16,"16-20",HOUR(D133)&gt;=12,"12-16",HOUR(D133)&lt;12,"7-12")</f>
        <v>12-16</v>
      </c>
      <c r="F133" s="6" t="s">
        <v>3</v>
      </c>
      <c r="G133" s="6" t="s">
        <v>10</v>
      </c>
      <c r="H133" s="6">
        <v>28.9</v>
      </c>
      <c r="I133" s="6" t="s">
        <v>11</v>
      </c>
    </row>
    <row r="134" spans="1:9" x14ac:dyDescent="0.35">
      <c r="A134" s="34">
        <v>45370</v>
      </c>
      <c r="B134" s="34" t="str">
        <f t="shared" si="5"/>
        <v>March</v>
      </c>
      <c r="C134" s="4" t="str">
        <f t="shared" si="4"/>
        <v>Tuesday</v>
      </c>
      <c r="D134" s="5">
        <v>45370.430856435189</v>
      </c>
      <c r="E134" s="6" t="str" cm="1">
        <f t="array" ref="E134">_xlfn.IFS(HOUR(D134)&gt;=20,"20-24 ",HOUR(D134)&gt;=16,"16-20",HOUR(D134)&gt;=12,"12-16",HOUR(D134)&lt;12,"7-12")</f>
        <v>7-12</v>
      </c>
      <c r="F134" s="6" t="s">
        <v>21</v>
      </c>
      <c r="G134" s="6" t="s">
        <v>463</v>
      </c>
      <c r="H134" s="6">
        <v>30</v>
      </c>
      <c r="I134" s="6" t="s">
        <v>28</v>
      </c>
    </row>
    <row r="135" spans="1:9" x14ac:dyDescent="0.35">
      <c r="A135" s="34">
        <v>45370</v>
      </c>
      <c r="B135" s="34" t="str">
        <f t="shared" si="5"/>
        <v>March</v>
      </c>
      <c r="C135" s="4" t="str">
        <f t="shared" si="4"/>
        <v>Tuesday</v>
      </c>
      <c r="D135" s="5">
        <v>45370.584971481483</v>
      </c>
      <c r="E135" s="6" t="str" cm="1">
        <f t="array" ref="E135">_xlfn.IFS(HOUR(D135)&gt;=20,"20-24 ",HOUR(D135)&gt;=16,"16-20",HOUR(D135)&gt;=12,"12-16",HOUR(D135)&lt;12,"7-12")</f>
        <v>12-16</v>
      </c>
      <c r="F135" s="6" t="s">
        <v>3</v>
      </c>
      <c r="G135" s="6" t="s">
        <v>79</v>
      </c>
      <c r="H135" s="6">
        <v>38.700000000000003</v>
      </c>
      <c r="I135" s="6" t="s">
        <v>7</v>
      </c>
    </row>
    <row r="136" spans="1:9" x14ac:dyDescent="0.35">
      <c r="A136" s="34">
        <v>45370</v>
      </c>
      <c r="B136" s="34" t="str">
        <f t="shared" si="5"/>
        <v>March</v>
      </c>
      <c r="C136" s="4" t="str">
        <f t="shared" si="4"/>
        <v>Tuesday</v>
      </c>
      <c r="D136" s="5">
        <v>45370.58564542824</v>
      </c>
      <c r="E136" s="6" t="str" cm="1">
        <f t="array" ref="E136">_xlfn.IFS(HOUR(D136)&gt;=20,"20-24 ",HOUR(D136)&gt;=16,"16-20",HOUR(D136)&gt;=12,"12-16",HOUR(D136)&lt;12,"7-12")</f>
        <v>12-16</v>
      </c>
      <c r="F136" s="6" t="s">
        <v>3</v>
      </c>
      <c r="G136" s="6" t="s">
        <v>79</v>
      </c>
      <c r="H136" s="6">
        <v>38.700000000000003</v>
      </c>
      <c r="I136" s="6" t="s">
        <v>7</v>
      </c>
    </row>
    <row r="137" spans="1:9" x14ac:dyDescent="0.35">
      <c r="A137" s="34">
        <v>45370</v>
      </c>
      <c r="B137" s="34" t="str">
        <f t="shared" si="5"/>
        <v>March</v>
      </c>
      <c r="C137" s="4" t="str">
        <f t="shared" si="4"/>
        <v>Tuesday</v>
      </c>
      <c r="D137" s="5">
        <v>45370.628198020837</v>
      </c>
      <c r="E137" s="6" t="str" cm="1">
        <f t="array" ref="E137">_xlfn.IFS(HOUR(D137)&gt;=20,"20-24 ",HOUR(D137)&gt;=16,"16-20",HOUR(D137)&gt;=12,"12-16",HOUR(D137)&lt;12,"7-12")</f>
        <v>12-16</v>
      </c>
      <c r="F137" s="6" t="s">
        <v>3</v>
      </c>
      <c r="G137" s="6" t="s">
        <v>63</v>
      </c>
      <c r="H137" s="6">
        <v>38.700000000000003</v>
      </c>
      <c r="I137" s="6" t="s">
        <v>9</v>
      </c>
    </row>
    <row r="138" spans="1:9" x14ac:dyDescent="0.35">
      <c r="A138" s="34">
        <v>45370</v>
      </c>
      <c r="B138" s="34" t="str">
        <f t="shared" si="5"/>
        <v>March</v>
      </c>
      <c r="C138" s="4" t="str">
        <f t="shared" si="4"/>
        <v>Tuesday</v>
      </c>
      <c r="D138" s="5">
        <v>45370.704035949071</v>
      </c>
      <c r="E138" s="6" t="str" cm="1">
        <f t="array" ref="E138">_xlfn.IFS(HOUR(D138)&gt;=20,"20-24 ",HOUR(D138)&gt;=16,"16-20",HOUR(D138)&gt;=12,"12-16",HOUR(D138)&lt;12,"7-12")</f>
        <v>16-20</v>
      </c>
      <c r="F138" s="6" t="s">
        <v>3</v>
      </c>
      <c r="G138" s="6" t="s">
        <v>80</v>
      </c>
      <c r="H138" s="6">
        <v>33.799999999999997</v>
      </c>
      <c r="I138" s="6" t="s">
        <v>14</v>
      </c>
    </row>
    <row r="139" spans="1:9" x14ac:dyDescent="0.35">
      <c r="A139" s="34">
        <v>45370</v>
      </c>
      <c r="B139" s="34" t="str">
        <f t="shared" si="5"/>
        <v>March</v>
      </c>
      <c r="C139" s="4" t="str">
        <f t="shared" si="4"/>
        <v>Tuesday</v>
      </c>
      <c r="D139" s="5">
        <v>45370.810100428243</v>
      </c>
      <c r="E139" s="6" t="str" cm="1">
        <f t="array" ref="E139">_xlfn.IFS(HOUR(D139)&gt;=20,"20-24 ",HOUR(D139)&gt;=16,"16-20",HOUR(D139)&gt;=12,"12-16",HOUR(D139)&lt;12,"7-12")</f>
        <v>16-20</v>
      </c>
      <c r="F139" s="6" t="s">
        <v>21</v>
      </c>
      <c r="G139" s="6" t="s">
        <v>463</v>
      </c>
      <c r="H139" s="6">
        <v>40</v>
      </c>
      <c r="I139" s="6" t="s">
        <v>9</v>
      </c>
    </row>
    <row r="140" spans="1:9" x14ac:dyDescent="0.35">
      <c r="A140" s="34">
        <v>45371</v>
      </c>
      <c r="B140" s="34" t="str">
        <f t="shared" si="5"/>
        <v>March</v>
      </c>
      <c r="C140" s="4" t="str">
        <f t="shared" si="4"/>
        <v>Wednesday</v>
      </c>
      <c r="D140" s="5">
        <v>45371.486995405096</v>
      </c>
      <c r="E140" s="6" t="str" cm="1">
        <f t="array" ref="E140">_xlfn.IFS(HOUR(D140)&gt;=20,"20-24 ",HOUR(D140)&gt;=16,"16-20",HOUR(D140)&gt;=12,"12-16",HOUR(D140)&lt;12,"7-12")</f>
        <v>7-12</v>
      </c>
      <c r="F140" s="6" t="s">
        <v>3</v>
      </c>
      <c r="G140" s="6" t="s">
        <v>23</v>
      </c>
      <c r="H140" s="6">
        <v>28.9</v>
      </c>
      <c r="I140" s="6" t="s">
        <v>28</v>
      </c>
    </row>
    <row r="141" spans="1:9" x14ac:dyDescent="0.35">
      <c r="A141" s="34">
        <v>45371</v>
      </c>
      <c r="B141" s="34" t="str">
        <f t="shared" si="5"/>
        <v>March</v>
      </c>
      <c r="C141" s="4" t="str">
        <f t="shared" si="4"/>
        <v>Wednesday</v>
      </c>
      <c r="D141" s="5">
        <v>45371.514672777776</v>
      </c>
      <c r="E141" s="6" t="str" cm="1">
        <f t="array" ref="E141">_xlfn.IFS(HOUR(D141)&gt;=20,"20-24 ",HOUR(D141)&gt;=16,"16-20",HOUR(D141)&gt;=12,"12-16",HOUR(D141)&lt;12,"7-12")</f>
        <v>12-16</v>
      </c>
      <c r="F141" s="6" t="s">
        <v>21</v>
      </c>
      <c r="G141" s="6" t="s">
        <v>463</v>
      </c>
      <c r="H141" s="6">
        <v>40</v>
      </c>
      <c r="I141" s="6" t="s">
        <v>7</v>
      </c>
    </row>
    <row r="142" spans="1:9" x14ac:dyDescent="0.35">
      <c r="A142" s="34">
        <v>45371</v>
      </c>
      <c r="B142" s="34" t="str">
        <f t="shared" si="5"/>
        <v>March</v>
      </c>
      <c r="C142" s="4" t="str">
        <f t="shared" si="4"/>
        <v>Wednesday</v>
      </c>
      <c r="D142" s="5">
        <v>45371.521400092592</v>
      </c>
      <c r="E142" s="6" t="str" cm="1">
        <f t="array" ref="E142">_xlfn.IFS(HOUR(D142)&gt;=20,"20-24 ",HOUR(D142)&gt;=16,"16-20",HOUR(D142)&gt;=12,"12-16",HOUR(D142)&lt;12,"7-12")</f>
        <v>12-16</v>
      </c>
      <c r="F142" s="6" t="s">
        <v>3</v>
      </c>
      <c r="G142" s="6" t="s">
        <v>63</v>
      </c>
      <c r="H142" s="6">
        <v>28.9</v>
      </c>
      <c r="I142" s="6" t="s">
        <v>28</v>
      </c>
    </row>
    <row r="143" spans="1:9" x14ac:dyDescent="0.35">
      <c r="A143" s="34">
        <v>45371</v>
      </c>
      <c r="B143" s="34" t="str">
        <f t="shared" si="5"/>
        <v>March</v>
      </c>
      <c r="C143" s="4" t="str">
        <f t="shared" si="4"/>
        <v>Wednesday</v>
      </c>
      <c r="D143" s="5">
        <v>45371.553326319445</v>
      </c>
      <c r="E143" s="6" t="str" cm="1">
        <f t="array" ref="E143">_xlfn.IFS(HOUR(D143)&gt;=20,"20-24 ",HOUR(D143)&gt;=16,"16-20",HOUR(D143)&gt;=12,"12-16",HOUR(D143)&lt;12,"7-12")</f>
        <v>12-16</v>
      </c>
      <c r="F143" s="6" t="s">
        <v>3</v>
      </c>
      <c r="G143" s="6" t="s">
        <v>81</v>
      </c>
      <c r="H143" s="6">
        <v>38.700000000000003</v>
      </c>
      <c r="I143" s="6" t="s">
        <v>43</v>
      </c>
    </row>
    <row r="144" spans="1:9" x14ac:dyDescent="0.35">
      <c r="A144" s="34">
        <v>45371</v>
      </c>
      <c r="B144" s="34" t="str">
        <f t="shared" si="5"/>
        <v>March</v>
      </c>
      <c r="C144" s="4" t="str">
        <f t="shared" si="4"/>
        <v>Wednesday</v>
      </c>
      <c r="D144" s="5">
        <v>45371.696274502312</v>
      </c>
      <c r="E144" s="6" t="str" cm="1">
        <f t="array" ref="E144">_xlfn.IFS(HOUR(D144)&gt;=20,"20-24 ",HOUR(D144)&gt;=16,"16-20",HOUR(D144)&gt;=12,"12-16",HOUR(D144)&lt;12,"7-12")</f>
        <v>16-20</v>
      </c>
      <c r="F144" s="6" t="s">
        <v>3</v>
      </c>
      <c r="G144" s="6" t="s">
        <v>64</v>
      </c>
      <c r="H144" s="6">
        <v>38.700000000000003</v>
      </c>
      <c r="I144" s="6" t="s">
        <v>18</v>
      </c>
    </row>
    <row r="145" spans="1:9" x14ac:dyDescent="0.35">
      <c r="A145" s="34">
        <v>45371</v>
      </c>
      <c r="B145" s="34" t="str">
        <f t="shared" si="5"/>
        <v>March</v>
      </c>
      <c r="C145" s="4" t="str">
        <f t="shared" si="4"/>
        <v>Wednesday</v>
      </c>
      <c r="D145" s="5">
        <v>45371.743388668983</v>
      </c>
      <c r="E145" s="6" t="str" cm="1">
        <f t="array" ref="E145">_xlfn.IFS(HOUR(D145)&gt;=20,"20-24 ",HOUR(D145)&gt;=16,"16-20",HOUR(D145)&gt;=12,"12-16",HOUR(D145)&lt;12,"7-12")</f>
        <v>16-20</v>
      </c>
      <c r="F145" s="6" t="s">
        <v>3</v>
      </c>
      <c r="G145" s="6" t="s">
        <v>82</v>
      </c>
      <c r="H145" s="6">
        <v>38.700000000000003</v>
      </c>
      <c r="I145" s="6" t="s">
        <v>7</v>
      </c>
    </row>
    <row r="146" spans="1:9" x14ac:dyDescent="0.35">
      <c r="A146" s="34">
        <v>45372</v>
      </c>
      <c r="B146" s="34" t="str">
        <f t="shared" si="5"/>
        <v>March</v>
      </c>
      <c r="C146" s="4" t="str">
        <f t="shared" si="4"/>
        <v>Thursday</v>
      </c>
      <c r="D146" s="5">
        <v>45372.429826122687</v>
      </c>
      <c r="E146" s="6" t="str" cm="1">
        <f t="array" ref="E146">_xlfn.IFS(HOUR(D146)&gt;=20,"20-24 ",HOUR(D146)&gt;=16,"16-20",HOUR(D146)&gt;=12,"12-16",HOUR(D146)&lt;12,"7-12")</f>
        <v>7-12</v>
      </c>
      <c r="F146" s="6" t="s">
        <v>21</v>
      </c>
      <c r="G146" s="6" t="s">
        <v>463</v>
      </c>
      <c r="H146" s="6">
        <v>40</v>
      </c>
      <c r="I146" s="6" t="s">
        <v>43</v>
      </c>
    </row>
    <row r="147" spans="1:9" x14ac:dyDescent="0.35">
      <c r="A147" s="34">
        <v>45372</v>
      </c>
      <c r="B147" s="34" t="str">
        <f t="shared" si="5"/>
        <v>March</v>
      </c>
      <c r="C147" s="4" t="str">
        <f t="shared" si="4"/>
        <v>Thursday</v>
      </c>
      <c r="D147" s="5">
        <v>45372.517467523146</v>
      </c>
      <c r="E147" s="6" t="str" cm="1">
        <f t="array" ref="E147">_xlfn.IFS(HOUR(D147)&gt;=20,"20-24 ",HOUR(D147)&gt;=16,"16-20",HOUR(D147)&gt;=12,"12-16",HOUR(D147)&lt;12,"7-12")</f>
        <v>12-16</v>
      </c>
      <c r="F147" s="6" t="s">
        <v>3</v>
      </c>
      <c r="G147" s="6" t="s">
        <v>23</v>
      </c>
      <c r="H147" s="6">
        <v>28.9</v>
      </c>
      <c r="I147" s="6" t="s">
        <v>28</v>
      </c>
    </row>
    <row r="148" spans="1:9" x14ac:dyDescent="0.35">
      <c r="A148" s="34">
        <v>45372</v>
      </c>
      <c r="B148" s="34" t="str">
        <f t="shared" si="5"/>
        <v>March</v>
      </c>
      <c r="C148" s="4" t="str">
        <f t="shared" si="4"/>
        <v>Thursday</v>
      </c>
      <c r="D148" s="5">
        <v>45372.518257268515</v>
      </c>
      <c r="E148" s="6" t="str" cm="1">
        <f t="array" ref="E148">_xlfn.IFS(HOUR(D148)&gt;=20,"20-24 ",HOUR(D148)&gt;=16,"16-20",HOUR(D148)&gt;=12,"12-16",HOUR(D148)&lt;12,"7-12")</f>
        <v>12-16</v>
      </c>
      <c r="F148" s="6" t="s">
        <v>3</v>
      </c>
      <c r="G148" s="6" t="s">
        <v>23</v>
      </c>
      <c r="H148" s="6">
        <v>38.700000000000003</v>
      </c>
      <c r="I148" s="6" t="s">
        <v>43</v>
      </c>
    </row>
    <row r="149" spans="1:9" x14ac:dyDescent="0.35">
      <c r="A149" s="34">
        <v>45372</v>
      </c>
      <c r="B149" s="34" t="str">
        <f t="shared" si="5"/>
        <v>March</v>
      </c>
      <c r="C149" s="4" t="str">
        <f t="shared" si="4"/>
        <v>Thursday</v>
      </c>
      <c r="D149" s="5">
        <v>45372.722933483798</v>
      </c>
      <c r="E149" s="6" t="str" cm="1">
        <f t="array" ref="E149">_xlfn.IFS(HOUR(D149)&gt;=20,"20-24 ",HOUR(D149)&gt;=16,"16-20",HOUR(D149)&gt;=12,"12-16",HOUR(D149)&lt;12,"7-12")</f>
        <v>16-20</v>
      </c>
      <c r="F149" s="6" t="s">
        <v>21</v>
      </c>
      <c r="G149" s="6" t="s">
        <v>463</v>
      </c>
      <c r="H149" s="6">
        <v>30</v>
      </c>
      <c r="I149" s="6" t="s">
        <v>11</v>
      </c>
    </row>
    <row r="150" spans="1:9" x14ac:dyDescent="0.35">
      <c r="A150" s="34">
        <v>45372</v>
      </c>
      <c r="B150" s="34" t="str">
        <f t="shared" si="5"/>
        <v>March</v>
      </c>
      <c r="C150" s="4" t="str">
        <f t="shared" si="4"/>
        <v>Thursday</v>
      </c>
      <c r="D150" s="5">
        <v>45372.723626770836</v>
      </c>
      <c r="E150" s="6" t="str" cm="1">
        <f t="array" ref="E150">_xlfn.IFS(HOUR(D150)&gt;=20,"20-24 ",HOUR(D150)&gt;=16,"16-20",HOUR(D150)&gt;=12,"12-16",HOUR(D150)&lt;12,"7-12")</f>
        <v>16-20</v>
      </c>
      <c r="F150" s="6" t="s">
        <v>3</v>
      </c>
      <c r="G150" s="6" t="s">
        <v>23</v>
      </c>
      <c r="H150" s="6">
        <v>28.9</v>
      </c>
      <c r="I150" s="6" t="s">
        <v>28</v>
      </c>
    </row>
    <row r="151" spans="1:9" x14ac:dyDescent="0.35">
      <c r="A151" s="34">
        <v>45372</v>
      </c>
      <c r="B151" s="34" t="str">
        <f t="shared" si="5"/>
        <v>March</v>
      </c>
      <c r="C151" s="4" t="str">
        <f t="shared" si="4"/>
        <v>Thursday</v>
      </c>
      <c r="D151" s="5">
        <v>45372.805978101853</v>
      </c>
      <c r="E151" s="6" t="str" cm="1">
        <f t="array" ref="E151">_xlfn.IFS(HOUR(D151)&gt;=20,"20-24 ",HOUR(D151)&gt;=16,"16-20",HOUR(D151)&gt;=12,"12-16",HOUR(D151)&lt;12,"7-12")</f>
        <v>16-20</v>
      </c>
      <c r="F151" s="6" t="s">
        <v>3</v>
      </c>
      <c r="G151" s="6" t="s">
        <v>83</v>
      </c>
      <c r="H151" s="6">
        <v>38.700000000000003</v>
      </c>
      <c r="I151" s="6" t="s">
        <v>7</v>
      </c>
    </row>
    <row r="152" spans="1:9" x14ac:dyDescent="0.35">
      <c r="A152" s="34">
        <v>45373</v>
      </c>
      <c r="B152" s="34" t="str">
        <f t="shared" si="5"/>
        <v>March</v>
      </c>
      <c r="C152" s="4" t="str">
        <f t="shared" si="4"/>
        <v>Friday</v>
      </c>
      <c r="D152" s="5">
        <v>45373.441592812502</v>
      </c>
      <c r="E152" s="6" t="str" cm="1">
        <f t="array" ref="E152">_xlfn.IFS(HOUR(D152)&gt;=20,"20-24 ",HOUR(D152)&gt;=16,"16-20",HOUR(D152)&gt;=12,"12-16",HOUR(D152)&lt;12,"7-12")</f>
        <v>7-12</v>
      </c>
      <c r="F152" s="6" t="s">
        <v>3</v>
      </c>
      <c r="G152" s="6" t="s">
        <v>84</v>
      </c>
      <c r="H152" s="6">
        <v>33.799999999999997</v>
      </c>
      <c r="I152" s="6" t="s">
        <v>14</v>
      </c>
    </row>
    <row r="153" spans="1:9" x14ac:dyDescent="0.35">
      <c r="A153" s="34">
        <v>45373</v>
      </c>
      <c r="B153" s="34" t="str">
        <f t="shared" si="5"/>
        <v>March</v>
      </c>
      <c r="C153" s="4" t="str">
        <f t="shared" si="4"/>
        <v>Friday</v>
      </c>
      <c r="D153" s="5">
        <v>45373.562041006946</v>
      </c>
      <c r="E153" s="6" t="str" cm="1">
        <f t="array" ref="E153">_xlfn.IFS(HOUR(D153)&gt;=20,"20-24 ",HOUR(D153)&gt;=16,"16-20",HOUR(D153)&gt;=12,"12-16",HOUR(D153)&lt;12,"7-12")</f>
        <v>12-16</v>
      </c>
      <c r="F153" s="6" t="s">
        <v>3</v>
      </c>
      <c r="G153" s="6" t="s">
        <v>85</v>
      </c>
      <c r="H153" s="6">
        <v>33.799999999999997</v>
      </c>
      <c r="I153" s="6" t="s">
        <v>14</v>
      </c>
    </row>
    <row r="154" spans="1:9" x14ac:dyDescent="0.35">
      <c r="A154" s="34">
        <v>45373</v>
      </c>
      <c r="B154" s="34" t="str">
        <f t="shared" si="5"/>
        <v>March</v>
      </c>
      <c r="C154" s="4" t="str">
        <f t="shared" si="4"/>
        <v>Friday</v>
      </c>
      <c r="D154" s="5">
        <v>45373.677250555556</v>
      </c>
      <c r="E154" s="6" t="str" cm="1">
        <f t="array" ref="E154">_xlfn.IFS(HOUR(D154)&gt;=20,"20-24 ",HOUR(D154)&gt;=16,"16-20",HOUR(D154)&gt;=12,"12-16",HOUR(D154)&lt;12,"7-12")</f>
        <v>16-20</v>
      </c>
      <c r="F154" s="6" t="s">
        <v>21</v>
      </c>
      <c r="G154" s="6" t="s">
        <v>463</v>
      </c>
      <c r="H154" s="6">
        <v>40</v>
      </c>
      <c r="I154" s="6" t="s">
        <v>43</v>
      </c>
    </row>
    <row r="155" spans="1:9" x14ac:dyDescent="0.35">
      <c r="A155" s="34">
        <v>45373</v>
      </c>
      <c r="B155" s="34" t="str">
        <f t="shared" si="5"/>
        <v>March</v>
      </c>
      <c r="C155" s="4" t="str">
        <f t="shared" si="4"/>
        <v>Friday</v>
      </c>
      <c r="D155" s="5">
        <v>45373.720181990742</v>
      </c>
      <c r="E155" s="6" t="str" cm="1">
        <f t="array" ref="E155">_xlfn.IFS(HOUR(D155)&gt;=20,"20-24 ",HOUR(D155)&gt;=16,"16-20",HOUR(D155)&gt;=12,"12-16",HOUR(D155)&lt;12,"7-12")</f>
        <v>16-20</v>
      </c>
      <c r="F155" s="6" t="s">
        <v>3</v>
      </c>
      <c r="G155" s="6" t="s">
        <v>23</v>
      </c>
      <c r="H155" s="6">
        <v>28.9</v>
      </c>
      <c r="I155" s="6" t="s">
        <v>11</v>
      </c>
    </row>
    <row r="156" spans="1:9" x14ac:dyDescent="0.35">
      <c r="A156" s="34">
        <v>45373</v>
      </c>
      <c r="B156" s="34" t="str">
        <f t="shared" si="5"/>
        <v>March</v>
      </c>
      <c r="C156" s="4" t="str">
        <f t="shared" si="4"/>
        <v>Friday</v>
      </c>
      <c r="D156" s="5">
        <v>45373.720821655093</v>
      </c>
      <c r="E156" s="6" t="str" cm="1">
        <f t="array" ref="E156">_xlfn.IFS(HOUR(D156)&gt;=20,"20-24 ",HOUR(D156)&gt;=16,"16-20",HOUR(D156)&gt;=12,"12-16",HOUR(D156)&lt;12,"7-12")</f>
        <v>16-20</v>
      </c>
      <c r="F156" s="6" t="s">
        <v>3</v>
      </c>
      <c r="G156" s="6" t="s">
        <v>23</v>
      </c>
      <c r="H156" s="6">
        <v>24</v>
      </c>
      <c r="I156" s="6" t="s">
        <v>35</v>
      </c>
    </row>
    <row r="157" spans="1:9" x14ac:dyDescent="0.35">
      <c r="A157" s="34">
        <v>45373</v>
      </c>
      <c r="B157" s="34" t="str">
        <f t="shared" si="5"/>
        <v>March</v>
      </c>
      <c r="C157" s="4" t="str">
        <f t="shared" si="4"/>
        <v>Friday</v>
      </c>
      <c r="D157" s="5">
        <v>45373.722795023146</v>
      </c>
      <c r="E157" s="6" t="str" cm="1">
        <f t="array" ref="E157">_xlfn.IFS(HOUR(D157)&gt;=20,"20-24 ",HOUR(D157)&gt;=16,"16-20",HOUR(D157)&gt;=12,"12-16",HOUR(D157)&lt;12,"7-12")</f>
        <v>16-20</v>
      </c>
      <c r="F157" s="6" t="s">
        <v>3</v>
      </c>
      <c r="G157" s="6" t="s">
        <v>64</v>
      </c>
      <c r="H157" s="6">
        <v>28.9</v>
      </c>
      <c r="I157" s="6" t="s">
        <v>11</v>
      </c>
    </row>
    <row r="158" spans="1:9" x14ac:dyDescent="0.35">
      <c r="A158" s="34">
        <v>45374</v>
      </c>
      <c r="B158" s="34" t="str">
        <f t="shared" si="5"/>
        <v>March</v>
      </c>
      <c r="C158" s="4" t="str">
        <f t="shared" si="4"/>
        <v>Saturday</v>
      </c>
      <c r="D158" s="5">
        <v>45374.447217118053</v>
      </c>
      <c r="E158" s="6" t="str" cm="1">
        <f t="array" ref="E158">_xlfn.IFS(HOUR(D158)&gt;=20,"20-24 ",HOUR(D158)&gt;=16,"16-20",HOUR(D158)&gt;=12,"12-16",HOUR(D158)&lt;12,"7-12")</f>
        <v>7-12</v>
      </c>
      <c r="F158" s="6" t="s">
        <v>3</v>
      </c>
      <c r="G158" s="6" t="s">
        <v>86</v>
      </c>
      <c r="H158" s="6">
        <v>38.700000000000003</v>
      </c>
      <c r="I158" s="6" t="s">
        <v>7</v>
      </c>
    </row>
    <row r="159" spans="1:9" x14ac:dyDescent="0.35">
      <c r="A159" s="34">
        <v>45374</v>
      </c>
      <c r="B159" s="34" t="str">
        <f t="shared" si="5"/>
        <v>March</v>
      </c>
      <c r="C159" s="4" t="str">
        <f t="shared" si="4"/>
        <v>Saturday</v>
      </c>
      <c r="D159" s="5">
        <v>45374.447999502314</v>
      </c>
      <c r="E159" s="6" t="str" cm="1">
        <f t="array" ref="E159">_xlfn.IFS(HOUR(D159)&gt;=20,"20-24 ",HOUR(D159)&gt;=16,"16-20",HOUR(D159)&gt;=12,"12-16",HOUR(D159)&lt;12,"7-12")</f>
        <v>7-12</v>
      </c>
      <c r="F159" s="6" t="s">
        <v>3</v>
      </c>
      <c r="G159" s="6" t="s">
        <v>87</v>
      </c>
      <c r="H159" s="6">
        <v>33.799999999999997</v>
      </c>
      <c r="I159" s="6" t="s">
        <v>14</v>
      </c>
    </row>
    <row r="160" spans="1:9" x14ac:dyDescent="0.35">
      <c r="A160" s="34">
        <v>45374</v>
      </c>
      <c r="B160" s="34" t="str">
        <f t="shared" si="5"/>
        <v>March</v>
      </c>
      <c r="C160" s="4" t="str">
        <f t="shared" si="4"/>
        <v>Saturday</v>
      </c>
      <c r="D160" s="5">
        <v>45374.548699780091</v>
      </c>
      <c r="E160" s="6" t="str" cm="1">
        <f t="array" ref="E160">_xlfn.IFS(HOUR(D160)&gt;=20,"20-24 ",HOUR(D160)&gt;=16,"16-20",HOUR(D160)&gt;=12,"12-16",HOUR(D160)&lt;12,"7-12")</f>
        <v>12-16</v>
      </c>
      <c r="F160" s="6" t="s">
        <v>3</v>
      </c>
      <c r="G160" s="6" t="s">
        <v>88</v>
      </c>
      <c r="H160" s="6">
        <v>38.700000000000003</v>
      </c>
      <c r="I160" s="6" t="s">
        <v>43</v>
      </c>
    </row>
    <row r="161" spans="1:9" x14ac:dyDescent="0.35">
      <c r="A161" s="34">
        <v>45374</v>
      </c>
      <c r="B161" s="34" t="str">
        <f t="shared" si="5"/>
        <v>March</v>
      </c>
      <c r="C161" s="4" t="str">
        <f t="shared" si="4"/>
        <v>Saturday</v>
      </c>
      <c r="D161" s="5">
        <v>45374.549447106481</v>
      </c>
      <c r="E161" s="6" t="str" cm="1">
        <f t="array" ref="E161">_xlfn.IFS(HOUR(D161)&gt;=20,"20-24 ",HOUR(D161)&gt;=16,"16-20",HOUR(D161)&gt;=12,"12-16",HOUR(D161)&lt;12,"7-12")</f>
        <v>12-16</v>
      </c>
      <c r="F161" s="6" t="s">
        <v>3</v>
      </c>
      <c r="G161" s="6" t="s">
        <v>88</v>
      </c>
      <c r="H161" s="6">
        <v>38.700000000000003</v>
      </c>
      <c r="I161" s="6" t="s">
        <v>18</v>
      </c>
    </row>
    <row r="162" spans="1:9" x14ac:dyDescent="0.35">
      <c r="A162" s="34">
        <v>45374</v>
      </c>
      <c r="B162" s="34" t="str">
        <f t="shared" si="5"/>
        <v>March</v>
      </c>
      <c r="C162" s="4" t="str">
        <f t="shared" si="4"/>
        <v>Saturday</v>
      </c>
      <c r="D162" s="5">
        <v>45374.614366620372</v>
      </c>
      <c r="E162" s="6" t="str" cm="1">
        <f t="array" ref="E162">_xlfn.IFS(HOUR(D162)&gt;=20,"20-24 ",HOUR(D162)&gt;=16,"16-20",HOUR(D162)&gt;=12,"12-16",HOUR(D162)&lt;12,"7-12")</f>
        <v>12-16</v>
      </c>
      <c r="F162" s="6" t="s">
        <v>3</v>
      </c>
      <c r="G162" s="6" t="s">
        <v>89</v>
      </c>
      <c r="H162" s="6">
        <v>33.799999999999997</v>
      </c>
      <c r="I162" s="6" t="s">
        <v>14</v>
      </c>
    </row>
    <row r="163" spans="1:9" x14ac:dyDescent="0.35">
      <c r="A163" s="34">
        <v>45374</v>
      </c>
      <c r="B163" s="34" t="str">
        <f t="shared" si="5"/>
        <v>March</v>
      </c>
      <c r="C163" s="4" t="str">
        <f t="shared" si="4"/>
        <v>Saturday</v>
      </c>
      <c r="D163" s="5">
        <v>45374.657859513885</v>
      </c>
      <c r="E163" s="6" t="str" cm="1">
        <f t="array" ref="E163">_xlfn.IFS(HOUR(D163)&gt;=20,"20-24 ",HOUR(D163)&gt;=16,"16-20",HOUR(D163)&gt;=12,"12-16",HOUR(D163)&lt;12,"7-12")</f>
        <v>12-16</v>
      </c>
      <c r="F163" s="6" t="s">
        <v>3</v>
      </c>
      <c r="G163" s="6" t="s">
        <v>90</v>
      </c>
      <c r="H163" s="6">
        <v>38.700000000000003</v>
      </c>
      <c r="I163" s="6" t="s">
        <v>7</v>
      </c>
    </row>
    <row r="164" spans="1:9" x14ac:dyDescent="0.35">
      <c r="A164" s="34">
        <v>45374</v>
      </c>
      <c r="B164" s="34" t="str">
        <f t="shared" si="5"/>
        <v>March</v>
      </c>
      <c r="C164" s="4" t="str">
        <f t="shared" si="4"/>
        <v>Saturday</v>
      </c>
      <c r="D164" s="5">
        <v>45374.659419131945</v>
      </c>
      <c r="E164" s="6" t="str" cm="1">
        <f t="array" ref="E164">_xlfn.IFS(HOUR(D164)&gt;=20,"20-24 ",HOUR(D164)&gt;=16,"16-20",HOUR(D164)&gt;=12,"12-16",HOUR(D164)&lt;12,"7-12")</f>
        <v>12-16</v>
      </c>
      <c r="F164" s="6" t="s">
        <v>3</v>
      </c>
      <c r="G164" s="6" t="s">
        <v>90</v>
      </c>
      <c r="H164" s="6">
        <v>33.799999999999997</v>
      </c>
      <c r="I164" s="6" t="s">
        <v>14</v>
      </c>
    </row>
    <row r="165" spans="1:9" x14ac:dyDescent="0.35">
      <c r="A165" s="34">
        <v>45374</v>
      </c>
      <c r="B165" s="34" t="str">
        <f t="shared" si="5"/>
        <v>March</v>
      </c>
      <c r="C165" s="4" t="str">
        <f t="shared" si="4"/>
        <v>Saturday</v>
      </c>
      <c r="D165" s="5">
        <v>45374.667342430555</v>
      </c>
      <c r="E165" s="6" t="str" cm="1">
        <f t="array" ref="E165">_xlfn.IFS(HOUR(D165)&gt;=20,"20-24 ",HOUR(D165)&gt;=16,"16-20",HOUR(D165)&gt;=12,"12-16",HOUR(D165)&lt;12,"7-12")</f>
        <v>16-20</v>
      </c>
      <c r="F165" s="6" t="s">
        <v>3</v>
      </c>
      <c r="G165" s="6" t="s">
        <v>19</v>
      </c>
      <c r="H165" s="6">
        <v>28.9</v>
      </c>
      <c r="I165" s="6" t="s">
        <v>28</v>
      </c>
    </row>
    <row r="166" spans="1:9" x14ac:dyDescent="0.35">
      <c r="A166" s="34">
        <v>45375</v>
      </c>
      <c r="B166" s="34" t="str">
        <f t="shared" si="5"/>
        <v>March</v>
      </c>
      <c r="C166" s="4" t="str">
        <f t="shared" si="4"/>
        <v>Sunday</v>
      </c>
      <c r="D166" s="5">
        <v>45375.419398206017</v>
      </c>
      <c r="E166" s="6" t="str" cm="1">
        <f t="array" ref="E166">_xlfn.IFS(HOUR(D166)&gt;=20,"20-24 ",HOUR(D166)&gt;=16,"16-20",HOUR(D166)&gt;=12,"12-16",HOUR(D166)&lt;12,"7-12")</f>
        <v>7-12</v>
      </c>
      <c r="F166" s="6" t="s">
        <v>21</v>
      </c>
      <c r="G166" s="6" t="s">
        <v>463</v>
      </c>
      <c r="H166" s="6">
        <v>40</v>
      </c>
      <c r="I166" s="6" t="s">
        <v>7</v>
      </c>
    </row>
    <row r="167" spans="1:9" x14ac:dyDescent="0.35">
      <c r="A167" s="34">
        <v>45375</v>
      </c>
      <c r="B167" s="34" t="str">
        <f t="shared" si="5"/>
        <v>March</v>
      </c>
      <c r="C167" s="4" t="str">
        <f t="shared" si="4"/>
        <v>Sunday</v>
      </c>
      <c r="D167" s="5">
        <v>45375.781347187498</v>
      </c>
      <c r="E167" s="6" t="str" cm="1">
        <f t="array" ref="E167">_xlfn.IFS(HOUR(D167)&gt;=20,"20-24 ",HOUR(D167)&gt;=16,"16-20",HOUR(D167)&gt;=12,"12-16",HOUR(D167)&lt;12,"7-12")</f>
        <v>16-20</v>
      </c>
      <c r="F167" s="6" t="s">
        <v>3</v>
      </c>
      <c r="G167" s="6" t="s">
        <v>91</v>
      </c>
      <c r="H167" s="6">
        <v>38.700000000000003</v>
      </c>
      <c r="I167" s="6" t="s">
        <v>7</v>
      </c>
    </row>
    <row r="168" spans="1:9" x14ac:dyDescent="0.35">
      <c r="A168" s="34">
        <v>45376</v>
      </c>
      <c r="B168" s="34" t="str">
        <f t="shared" si="5"/>
        <v>March</v>
      </c>
      <c r="C168" s="4" t="str">
        <f t="shared" si="4"/>
        <v>Monday</v>
      </c>
      <c r="D168" s="5">
        <v>45376.438741319442</v>
      </c>
      <c r="E168" s="6" t="str" cm="1">
        <f t="array" ref="E168">_xlfn.IFS(HOUR(D168)&gt;=20,"20-24 ",HOUR(D168)&gt;=16,"16-20",HOUR(D168)&gt;=12,"12-16",HOUR(D168)&lt;12,"7-12")</f>
        <v>7-12</v>
      </c>
      <c r="F168" s="6" t="s">
        <v>3</v>
      </c>
      <c r="G168" s="6" t="s">
        <v>19</v>
      </c>
      <c r="H168" s="6">
        <v>38.700000000000003</v>
      </c>
      <c r="I168" s="6" t="s">
        <v>7</v>
      </c>
    </row>
    <row r="169" spans="1:9" x14ac:dyDescent="0.35">
      <c r="A169" s="34">
        <v>45376</v>
      </c>
      <c r="B169" s="34" t="str">
        <f t="shared" si="5"/>
        <v>March</v>
      </c>
      <c r="C169" s="4" t="str">
        <f t="shared" si="4"/>
        <v>Monday</v>
      </c>
      <c r="D169" s="5">
        <v>45376.469741562498</v>
      </c>
      <c r="E169" s="6" t="str" cm="1">
        <f t="array" ref="E169">_xlfn.IFS(HOUR(D169)&gt;=20,"20-24 ",HOUR(D169)&gt;=16,"16-20",HOUR(D169)&gt;=12,"12-16",HOUR(D169)&lt;12,"7-12")</f>
        <v>7-12</v>
      </c>
      <c r="F169" s="6" t="s">
        <v>21</v>
      </c>
      <c r="G169" s="6" t="s">
        <v>463</v>
      </c>
      <c r="H169" s="6">
        <v>35</v>
      </c>
      <c r="I169" s="6" t="s">
        <v>14</v>
      </c>
    </row>
    <row r="170" spans="1:9" x14ac:dyDescent="0.35">
      <c r="A170" s="34">
        <v>45376</v>
      </c>
      <c r="B170" s="34" t="str">
        <f t="shared" si="5"/>
        <v>March</v>
      </c>
      <c r="C170" s="4" t="str">
        <f t="shared" si="4"/>
        <v>Monday</v>
      </c>
      <c r="D170" s="5">
        <v>45376.602189386576</v>
      </c>
      <c r="E170" s="6" t="str" cm="1">
        <f t="array" ref="E170">_xlfn.IFS(HOUR(D170)&gt;=20,"20-24 ",HOUR(D170)&gt;=16,"16-20",HOUR(D170)&gt;=12,"12-16",HOUR(D170)&lt;12,"7-12")</f>
        <v>12-16</v>
      </c>
      <c r="F170" s="6" t="s">
        <v>3</v>
      </c>
      <c r="G170" s="6" t="s">
        <v>92</v>
      </c>
      <c r="H170" s="6">
        <v>38.700000000000003</v>
      </c>
      <c r="I170" s="6" t="s">
        <v>7</v>
      </c>
    </row>
    <row r="171" spans="1:9" x14ac:dyDescent="0.35">
      <c r="A171" s="34">
        <v>45376</v>
      </c>
      <c r="B171" s="34" t="str">
        <f t="shared" si="5"/>
        <v>March</v>
      </c>
      <c r="C171" s="4" t="str">
        <f t="shared" si="4"/>
        <v>Monday</v>
      </c>
      <c r="D171" s="5">
        <v>45376.60376554398</v>
      </c>
      <c r="E171" s="6" t="str" cm="1">
        <f t="array" ref="E171">_xlfn.IFS(HOUR(D171)&gt;=20,"20-24 ",HOUR(D171)&gt;=16,"16-20",HOUR(D171)&gt;=12,"12-16",HOUR(D171)&lt;12,"7-12")</f>
        <v>12-16</v>
      </c>
      <c r="F171" s="6" t="s">
        <v>3</v>
      </c>
      <c r="G171" s="6" t="s">
        <v>29</v>
      </c>
      <c r="H171" s="6">
        <v>38.700000000000003</v>
      </c>
      <c r="I171" s="6" t="s">
        <v>7</v>
      </c>
    </row>
    <row r="172" spans="1:9" x14ac:dyDescent="0.35">
      <c r="A172" s="34">
        <v>45376</v>
      </c>
      <c r="B172" s="34" t="str">
        <f t="shared" si="5"/>
        <v>March</v>
      </c>
      <c r="C172" s="4" t="str">
        <f t="shared" si="4"/>
        <v>Monday</v>
      </c>
      <c r="D172" s="5">
        <v>45376.776049189815</v>
      </c>
      <c r="E172" s="6" t="str" cm="1">
        <f t="array" ref="E172">_xlfn.IFS(HOUR(D172)&gt;=20,"20-24 ",HOUR(D172)&gt;=16,"16-20",HOUR(D172)&gt;=12,"12-16",HOUR(D172)&lt;12,"7-12")</f>
        <v>16-20</v>
      </c>
      <c r="F172" s="6" t="s">
        <v>3</v>
      </c>
      <c r="G172" s="6" t="s">
        <v>37</v>
      </c>
      <c r="H172" s="6">
        <v>33.799999999999997</v>
      </c>
      <c r="I172" s="6" t="s">
        <v>14</v>
      </c>
    </row>
    <row r="173" spans="1:9" x14ac:dyDescent="0.35">
      <c r="A173" s="34">
        <v>45376</v>
      </c>
      <c r="B173" s="34" t="str">
        <f t="shared" si="5"/>
        <v>March</v>
      </c>
      <c r="C173" s="4" t="str">
        <f t="shared" si="4"/>
        <v>Monday</v>
      </c>
      <c r="D173" s="5">
        <v>45376.815561828706</v>
      </c>
      <c r="E173" s="6" t="str" cm="1">
        <f t="array" ref="E173">_xlfn.IFS(HOUR(D173)&gt;=20,"20-24 ",HOUR(D173)&gt;=16,"16-20",HOUR(D173)&gt;=12,"12-16",HOUR(D173)&lt;12,"7-12")</f>
        <v>16-20</v>
      </c>
      <c r="F173" s="6" t="s">
        <v>3</v>
      </c>
      <c r="G173" s="6" t="s">
        <v>93</v>
      </c>
      <c r="H173" s="6">
        <v>38.700000000000003</v>
      </c>
      <c r="I173" s="6" t="s">
        <v>43</v>
      </c>
    </row>
    <row r="174" spans="1:9" x14ac:dyDescent="0.35">
      <c r="A174" s="34">
        <v>45377</v>
      </c>
      <c r="B174" s="34" t="str">
        <f t="shared" si="5"/>
        <v>March</v>
      </c>
      <c r="C174" s="4" t="str">
        <f t="shared" si="4"/>
        <v>Tuesday</v>
      </c>
      <c r="D174" s="5">
        <v>45377.441547210648</v>
      </c>
      <c r="E174" s="6" t="str" cm="1">
        <f t="array" ref="E174">_xlfn.IFS(HOUR(D174)&gt;=20,"20-24 ",HOUR(D174)&gt;=16,"16-20",HOUR(D174)&gt;=12,"12-16",HOUR(D174)&lt;12,"7-12")</f>
        <v>7-12</v>
      </c>
      <c r="F174" s="6" t="s">
        <v>3</v>
      </c>
      <c r="G174" s="6" t="s">
        <v>69</v>
      </c>
      <c r="H174" s="6">
        <v>38.700000000000003</v>
      </c>
      <c r="I174" s="6" t="s">
        <v>18</v>
      </c>
    </row>
    <row r="175" spans="1:9" x14ac:dyDescent="0.35">
      <c r="A175" s="34">
        <v>45377</v>
      </c>
      <c r="B175" s="34" t="str">
        <f t="shared" si="5"/>
        <v>March</v>
      </c>
      <c r="C175" s="4" t="str">
        <f t="shared" si="4"/>
        <v>Tuesday</v>
      </c>
      <c r="D175" s="5">
        <v>45377.44208508102</v>
      </c>
      <c r="E175" s="6" t="str" cm="1">
        <f t="array" ref="E175">_xlfn.IFS(HOUR(D175)&gt;=20,"20-24 ",HOUR(D175)&gt;=16,"16-20",HOUR(D175)&gt;=12,"12-16",HOUR(D175)&lt;12,"7-12")</f>
        <v>7-12</v>
      </c>
      <c r="F175" s="6" t="s">
        <v>3</v>
      </c>
      <c r="G175" s="6" t="s">
        <v>69</v>
      </c>
      <c r="H175" s="6">
        <v>38.700000000000003</v>
      </c>
      <c r="I175" s="6" t="s">
        <v>7</v>
      </c>
    </row>
    <row r="176" spans="1:9" x14ac:dyDescent="0.35">
      <c r="A176" s="34">
        <v>45377</v>
      </c>
      <c r="B176" s="34" t="str">
        <f t="shared" si="5"/>
        <v>March</v>
      </c>
      <c r="C176" s="4" t="str">
        <f t="shared" si="4"/>
        <v>Tuesday</v>
      </c>
      <c r="D176" s="5">
        <v>45377.446182523148</v>
      </c>
      <c r="E176" s="6" t="str" cm="1">
        <f t="array" ref="E176">_xlfn.IFS(HOUR(D176)&gt;=20,"20-24 ",HOUR(D176)&gt;=16,"16-20",HOUR(D176)&gt;=12,"12-16",HOUR(D176)&lt;12,"7-12")</f>
        <v>7-12</v>
      </c>
      <c r="F176" s="6" t="s">
        <v>3</v>
      </c>
      <c r="G176" s="6" t="s">
        <v>94</v>
      </c>
      <c r="H176" s="6">
        <v>38.700000000000003</v>
      </c>
      <c r="I176" s="6" t="s">
        <v>7</v>
      </c>
    </row>
    <row r="177" spans="1:9" x14ac:dyDescent="0.35">
      <c r="A177" s="34">
        <v>45377</v>
      </c>
      <c r="B177" s="34" t="str">
        <f t="shared" si="5"/>
        <v>March</v>
      </c>
      <c r="C177" s="4" t="str">
        <f t="shared" si="4"/>
        <v>Tuesday</v>
      </c>
      <c r="D177" s="5">
        <v>45377.46652008102</v>
      </c>
      <c r="E177" s="6" t="str" cm="1">
        <f t="array" ref="E177">_xlfn.IFS(HOUR(D177)&gt;=20,"20-24 ",HOUR(D177)&gt;=16,"16-20",HOUR(D177)&gt;=12,"12-16",HOUR(D177)&lt;12,"7-12")</f>
        <v>7-12</v>
      </c>
      <c r="F177" s="6" t="s">
        <v>3</v>
      </c>
      <c r="G177" s="6" t="s">
        <v>19</v>
      </c>
      <c r="H177" s="6">
        <v>28.9</v>
      </c>
      <c r="I177" s="6" t="s">
        <v>28</v>
      </c>
    </row>
    <row r="178" spans="1:9" x14ac:dyDescent="0.35">
      <c r="A178" s="34">
        <v>45377</v>
      </c>
      <c r="B178" s="34" t="str">
        <f t="shared" si="5"/>
        <v>March</v>
      </c>
      <c r="C178" s="4" t="str">
        <f t="shared" si="4"/>
        <v>Tuesday</v>
      </c>
      <c r="D178" s="5">
        <v>45377.566583020831</v>
      </c>
      <c r="E178" s="6" t="str" cm="1">
        <f t="array" ref="E178">_xlfn.IFS(HOUR(D178)&gt;=20,"20-24 ",HOUR(D178)&gt;=16,"16-20",HOUR(D178)&gt;=12,"12-16",HOUR(D178)&lt;12,"7-12")</f>
        <v>12-16</v>
      </c>
      <c r="F178" s="6" t="s">
        <v>3</v>
      </c>
      <c r="G178" s="6" t="s">
        <v>10</v>
      </c>
      <c r="H178" s="6">
        <v>28.9</v>
      </c>
      <c r="I178" s="6" t="s">
        <v>11</v>
      </c>
    </row>
    <row r="179" spans="1:9" x14ac:dyDescent="0.35">
      <c r="A179" s="34">
        <v>45377</v>
      </c>
      <c r="B179" s="34" t="str">
        <f t="shared" si="5"/>
        <v>March</v>
      </c>
      <c r="C179" s="4" t="str">
        <f t="shared" si="4"/>
        <v>Tuesday</v>
      </c>
      <c r="D179" s="5">
        <v>45377.567241249999</v>
      </c>
      <c r="E179" s="6" t="str" cm="1">
        <f t="array" ref="E179">_xlfn.IFS(HOUR(D179)&gt;=20,"20-24 ",HOUR(D179)&gt;=16,"16-20",HOUR(D179)&gt;=12,"12-16",HOUR(D179)&lt;12,"7-12")</f>
        <v>12-16</v>
      </c>
      <c r="F179" s="6" t="s">
        <v>3</v>
      </c>
      <c r="G179" s="6" t="s">
        <v>46</v>
      </c>
      <c r="H179" s="6">
        <v>28.9</v>
      </c>
      <c r="I179" s="6" t="s">
        <v>28</v>
      </c>
    </row>
    <row r="180" spans="1:9" x14ac:dyDescent="0.35">
      <c r="A180" s="34">
        <v>45377</v>
      </c>
      <c r="B180" s="34" t="str">
        <f t="shared" si="5"/>
        <v>March</v>
      </c>
      <c r="C180" s="4" t="str">
        <f t="shared" si="4"/>
        <v>Tuesday</v>
      </c>
      <c r="D180" s="5">
        <v>45377.568052349539</v>
      </c>
      <c r="E180" s="6" t="str" cm="1">
        <f t="array" ref="E180">_xlfn.IFS(HOUR(D180)&gt;=20,"20-24 ",HOUR(D180)&gt;=16,"16-20",HOUR(D180)&gt;=12,"12-16",HOUR(D180)&lt;12,"7-12")</f>
        <v>12-16</v>
      </c>
      <c r="F180" s="6" t="s">
        <v>3</v>
      </c>
      <c r="G180" s="6" t="s">
        <v>73</v>
      </c>
      <c r="H180" s="6">
        <v>28.9</v>
      </c>
      <c r="I180" s="6" t="s">
        <v>28</v>
      </c>
    </row>
    <row r="181" spans="1:9" x14ac:dyDescent="0.35">
      <c r="A181" s="34">
        <v>45377</v>
      </c>
      <c r="B181" s="34" t="str">
        <f t="shared" si="5"/>
        <v>March</v>
      </c>
      <c r="C181" s="4" t="str">
        <f t="shared" si="4"/>
        <v>Tuesday</v>
      </c>
      <c r="D181" s="5">
        <v>45377.581871261573</v>
      </c>
      <c r="E181" s="6" t="str" cm="1">
        <f t="array" ref="E181">_xlfn.IFS(HOUR(D181)&gt;=20,"20-24 ",HOUR(D181)&gt;=16,"16-20",HOUR(D181)&gt;=12,"12-16",HOUR(D181)&lt;12,"7-12")</f>
        <v>12-16</v>
      </c>
      <c r="F181" s="6" t="s">
        <v>3</v>
      </c>
      <c r="G181" s="6" t="s">
        <v>64</v>
      </c>
      <c r="H181" s="6">
        <v>28.9</v>
      </c>
      <c r="I181" s="6" t="s">
        <v>11</v>
      </c>
    </row>
    <row r="182" spans="1:9" x14ac:dyDescent="0.35">
      <c r="A182" s="34">
        <v>45377</v>
      </c>
      <c r="B182" s="34" t="str">
        <f t="shared" si="5"/>
        <v>March</v>
      </c>
      <c r="C182" s="4" t="str">
        <f t="shared" si="4"/>
        <v>Tuesday</v>
      </c>
      <c r="D182" s="5">
        <v>45377.658359606481</v>
      </c>
      <c r="E182" s="6" t="str" cm="1">
        <f t="array" ref="E182">_xlfn.IFS(HOUR(D182)&gt;=20,"20-24 ",HOUR(D182)&gt;=16,"16-20",HOUR(D182)&gt;=12,"12-16",HOUR(D182)&lt;12,"7-12")</f>
        <v>12-16</v>
      </c>
      <c r="F182" s="6" t="s">
        <v>3</v>
      </c>
      <c r="G182" s="6" t="s">
        <v>95</v>
      </c>
      <c r="H182" s="6">
        <v>38.700000000000003</v>
      </c>
      <c r="I182" s="6" t="s">
        <v>7</v>
      </c>
    </row>
    <row r="183" spans="1:9" x14ac:dyDescent="0.35">
      <c r="A183" s="34">
        <v>45377</v>
      </c>
      <c r="B183" s="34" t="str">
        <f t="shared" si="5"/>
        <v>March</v>
      </c>
      <c r="C183" s="4" t="str">
        <f t="shared" si="4"/>
        <v>Tuesday</v>
      </c>
      <c r="D183" s="5">
        <v>45377.773363055552</v>
      </c>
      <c r="E183" s="6" t="str" cm="1">
        <f t="array" ref="E183">_xlfn.IFS(HOUR(D183)&gt;=20,"20-24 ",HOUR(D183)&gt;=16,"16-20",HOUR(D183)&gt;=12,"12-16",HOUR(D183)&lt;12,"7-12")</f>
        <v>16-20</v>
      </c>
      <c r="F183" s="6" t="s">
        <v>3</v>
      </c>
      <c r="G183" s="6" t="s">
        <v>37</v>
      </c>
      <c r="H183" s="6">
        <v>38.700000000000003</v>
      </c>
      <c r="I183" s="6" t="s">
        <v>7</v>
      </c>
    </row>
    <row r="184" spans="1:9" x14ac:dyDescent="0.35">
      <c r="A184" s="34">
        <v>45377</v>
      </c>
      <c r="B184" s="34" t="str">
        <f t="shared" si="5"/>
        <v>March</v>
      </c>
      <c r="C184" s="4" t="str">
        <f t="shared" si="4"/>
        <v>Tuesday</v>
      </c>
      <c r="D184" s="5">
        <v>45377.774243611108</v>
      </c>
      <c r="E184" s="6" t="str" cm="1">
        <f t="array" ref="E184">_xlfn.IFS(HOUR(D184)&gt;=20,"20-24 ",HOUR(D184)&gt;=16,"16-20",HOUR(D184)&gt;=12,"12-16",HOUR(D184)&lt;12,"7-12")</f>
        <v>16-20</v>
      </c>
      <c r="F184" s="6" t="s">
        <v>3</v>
      </c>
      <c r="G184" s="6" t="s">
        <v>19</v>
      </c>
      <c r="H184" s="6">
        <v>38.700000000000003</v>
      </c>
      <c r="I184" s="6" t="s">
        <v>9</v>
      </c>
    </row>
    <row r="185" spans="1:9" x14ac:dyDescent="0.35">
      <c r="A185" s="34">
        <v>45378</v>
      </c>
      <c r="B185" s="34" t="str">
        <f t="shared" si="5"/>
        <v>March</v>
      </c>
      <c r="C185" s="4" t="str">
        <f t="shared" si="4"/>
        <v>Wednesday</v>
      </c>
      <c r="D185" s="5">
        <v>45378.461703402776</v>
      </c>
      <c r="E185" s="6" t="str" cm="1">
        <f t="array" ref="E185">_xlfn.IFS(HOUR(D185)&gt;=20,"20-24 ",HOUR(D185)&gt;=16,"16-20",HOUR(D185)&gt;=12,"12-16",HOUR(D185)&lt;12,"7-12")</f>
        <v>7-12</v>
      </c>
      <c r="F185" s="6" t="s">
        <v>3</v>
      </c>
      <c r="G185" s="6" t="s">
        <v>10</v>
      </c>
      <c r="H185" s="6">
        <v>28.9</v>
      </c>
      <c r="I185" s="6" t="s">
        <v>28</v>
      </c>
    </row>
    <row r="186" spans="1:9" x14ac:dyDescent="0.35">
      <c r="A186" s="34">
        <v>45378</v>
      </c>
      <c r="B186" s="34" t="str">
        <f t="shared" si="5"/>
        <v>March</v>
      </c>
      <c r="C186" s="4" t="str">
        <f t="shared" si="4"/>
        <v>Wednesday</v>
      </c>
      <c r="D186" s="5">
        <v>45378.462479583337</v>
      </c>
      <c r="E186" s="6" t="str" cm="1">
        <f t="array" ref="E186">_xlfn.IFS(HOUR(D186)&gt;=20,"20-24 ",HOUR(D186)&gt;=16,"16-20",HOUR(D186)&gt;=12,"12-16",HOUR(D186)&lt;12,"7-12")</f>
        <v>7-12</v>
      </c>
      <c r="F186" s="6" t="s">
        <v>3</v>
      </c>
      <c r="G186" s="6" t="s">
        <v>10</v>
      </c>
      <c r="H186" s="6">
        <v>33.799999999999997</v>
      </c>
      <c r="I186" s="6" t="s">
        <v>14</v>
      </c>
    </row>
    <row r="187" spans="1:9" x14ac:dyDescent="0.35">
      <c r="A187" s="34">
        <v>45378</v>
      </c>
      <c r="B187" s="34" t="str">
        <f t="shared" si="5"/>
        <v>March</v>
      </c>
      <c r="C187" s="4" t="str">
        <f t="shared" si="4"/>
        <v>Wednesday</v>
      </c>
      <c r="D187" s="5">
        <v>45378.539588680556</v>
      </c>
      <c r="E187" s="6" t="str" cm="1">
        <f t="array" ref="E187">_xlfn.IFS(HOUR(D187)&gt;=20,"20-24 ",HOUR(D187)&gt;=16,"16-20",HOUR(D187)&gt;=12,"12-16",HOUR(D187)&lt;12,"7-12")</f>
        <v>12-16</v>
      </c>
      <c r="F187" s="6" t="s">
        <v>3</v>
      </c>
      <c r="G187" s="6" t="s">
        <v>96</v>
      </c>
      <c r="H187" s="6">
        <v>33.799999999999997</v>
      </c>
      <c r="I187" s="6" t="s">
        <v>14</v>
      </c>
    </row>
    <row r="188" spans="1:9" x14ac:dyDescent="0.35">
      <c r="A188" s="34">
        <v>45378</v>
      </c>
      <c r="B188" s="34" t="str">
        <f t="shared" si="5"/>
        <v>March</v>
      </c>
      <c r="C188" s="4" t="str">
        <f t="shared" si="4"/>
        <v>Wednesday</v>
      </c>
      <c r="D188" s="5">
        <v>45378.56620415509</v>
      </c>
      <c r="E188" s="6" t="str" cm="1">
        <f t="array" ref="E188">_xlfn.IFS(HOUR(D188)&gt;=20,"20-24 ",HOUR(D188)&gt;=16,"16-20",HOUR(D188)&gt;=12,"12-16",HOUR(D188)&lt;12,"7-12")</f>
        <v>12-16</v>
      </c>
      <c r="F188" s="6" t="s">
        <v>3</v>
      </c>
      <c r="G188" s="6" t="s">
        <v>97</v>
      </c>
      <c r="H188" s="6">
        <v>38.700000000000003</v>
      </c>
      <c r="I188" s="6" t="s">
        <v>9</v>
      </c>
    </row>
    <row r="189" spans="1:9" x14ac:dyDescent="0.35">
      <c r="A189" s="34">
        <v>45378</v>
      </c>
      <c r="B189" s="34" t="str">
        <f t="shared" si="5"/>
        <v>March</v>
      </c>
      <c r="C189" s="4" t="str">
        <f t="shared" si="4"/>
        <v>Wednesday</v>
      </c>
      <c r="D189" s="5">
        <v>45378.598977569447</v>
      </c>
      <c r="E189" s="6" t="str" cm="1">
        <f t="array" ref="E189">_xlfn.IFS(HOUR(D189)&gt;=20,"20-24 ",HOUR(D189)&gt;=16,"16-20",HOUR(D189)&gt;=12,"12-16",HOUR(D189)&lt;12,"7-12")</f>
        <v>12-16</v>
      </c>
      <c r="F189" s="6" t="s">
        <v>3</v>
      </c>
      <c r="G189" s="6" t="s">
        <v>23</v>
      </c>
      <c r="H189" s="6">
        <v>38.700000000000003</v>
      </c>
      <c r="I189" s="6" t="s">
        <v>43</v>
      </c>
    </row>
    <row r="190" spans="1:9" x14ac:dyDescent="0.35">
      <c r="A190" s="34">
        <v>45378</v>
      </c>
      <c r="B190" s="34" t="str">
        <f t="shared" si="5"/>
        <v>March</v>
      </c>
      <c r="C190" s="4" t="str">
        <f t="shared" si="4"/>
        <v>Wednesday</v>
      </c>
      <c r="D190" s="5">
        <v>45378.599715046294</v>
      </c>
      <c r="E190" s="6" t="str" cm="1">
        <f t="array" ref="E190">_xlfn.IFS(HOUR(D190)&gt;=20,"20-24 ",HOUR(D190)&gt;=16,"16-20",HOUR(D190)&gt;=12,"12-16",HOUR(D190)&lt;12,"7-12")</f>
        <v>12-16</v>
      </c>
      <c r="F190" s="6" t="s">
        <v>3</v>
      </c>
      <c r="G190" s="6" t="s">
        <v>23</v>
      </c>
      <c r="H190" s="6">
        <v>28.9</v>
      </c>
      <c r="I190" s="6" t="s">
        <v>11</v>
      </c>
    </row>
    <row r="191" spans="1:9" x14ac:dyDescent="0.35">
      <c r="A191" s="34">
        <v>45378</v>
      </c>
      <c r="B191" s="34" t="str">
        <f t="shared" si="5"/>
        <v>March</v>
      </c>
      <c r="C191" s="4" t="str">
        <f t="shared" si="4"/>
        <v>Wednesday</v>
      </c>
      <c r="D191" s="5">
        <v>45378.770970289355</v>
      </c>
      <c r="E191" s="6" t="str" cm="1">
        <f t="array" ref="E191">_xlfn.IFS(HOUR(D191)&gt;=20,"20-24 ",HOUR(D191)&gt;=16,"16-20",HOUR(D191)&gt;=12,"12-16",HOUR(D191)&lt;12,"7-12")</f>
        <v>16-20</v>
      </c>
      <c r="F191" s="6" t="s">
        <v>3</v>
      </c>
      <c r="G191" s="6" t="s">
        <v>98</v>
      </c>
      <c r="H191" s="6">
        <v>28.9</v>
      </c>
      <c r="I191" s="6" t="s">
        <v>28</v>
      </c>
    </row>
    <row r="192" spans="1:9" x14ac:dyDescent="0.35">
      <c r="A192" s="34">
        <v>45378</v>
      </c>
      <c r="B192" s="34" t="str">
        <f t="shared" si="5"/>
        <v>March</v>
      </c>
      <c r="C192" s="4" t="str">
        <f t="shared" si="4"/>
        <v>Wednesday</v>
      </c>
      <c r="D192" s="5">
        <v>45378.813338449072</v>
      </c>
      <c r="E192" s="6" t="str" cm="1">
        <f t="array" ref="E192">_xlfn.IFS(HOUR(D192)&gt;=20,"20-24 ",HOUR(D192)&gt;=16,"16-20",HOUR(D192)&gt;=12,"12-16",HOUR(D192)&lt;12,"7-12")</f>
        <v>16-20</v>
      </c>
      <c r="F192" s="6" t="s">
        <v>21</v>
      </c>
      <c r="G192" s="6" t="s">
        <v>463</v>
      </c>
      <c r="H192" s="6">
        <v>40</v>
      </c>
      <c r="I192" s="6" t="s">
        <v>7</v>
      </c>
    </row>
    <row r="193" spans="1:9" x14ac:dyDescent="0.35">
      <c r="A193" s="34">
        <v>45379</v>
      </c>
      <c r="B193" s="34" t="str">
        <f t="shared" si="5"/>
        <v>March</v>
      </c>
      <c r="C193" s="4" t="str">
        <f t="shared" si="4"/>
        <v>Thursday</v>
      </c>
      <c r="D193" s="5">
        <v>45379.600545046298</v>
      </c>
      <c r="E193" s="6" t="str" cm="1">
        <f t="array" ref="E193">_xlfn.IFS(HOUR(D193)&gt;=20,"20-24 ",HOUR(D193)&gt;=16,"16-20",HOUR(D193)&gt;=12,"12-16",HOUR(D193)&lt;12,"7-12")</f>
        <v>12-16</v>
      </c>
      <c r="F193" s="6" t="s">
        <v>3</v>
      </c>
      <c r="G193" s="6" t="s">
        <v>99</v>
      </c>
      <c r="H193" s="6">
        <v>28.9</v>
      </c>
      <c r="I193" s="6" t="s">
        <v>28</v>
      </c>
    </row>
    <row r="194" spans="1:9" x14ac:dyDescent="0.35">
      <c r="A194" s="34">
        <v>45379</v>
      </c>
      <c r="B194" s="34" t="str">
        <f t="shared" si="5"/>
        <v>March</v>
      </c>
      <c r="C194" s="4" t="str">
        <f t="shared" ref="C194:C257" si="6">TEXT(A194,"ddddddddd")</f>
        <v>Thursday</v>
      </c>
      <c r="D194" s="5">
        <v>45379.725535231482</v>
      </c>
      <c r="E194" s="6" t="str" cm="1">
        <f t="array" ref="E194">_xlfn.IFS(HOUR(D194)&gt;=20,"20-24 ",HOUR(D194)&gt;=16,"16-20",HOUR(D194)&gt;=12,"12-16",HOUR(D194)&lt;12,"7-12")</f>
        <v>16-20</v>
      </c>
      <c r="F194" s="6" t="s">
        <v>3</v>
      </c>
      <c r="G194" s="6" t="s">
        <v>23</v>
      </c>
      <c r="H194" s="6">
        <v>28.9</v>
      </c>
      <c r="I194" s="6" t="s">
        <v>28</v>
      </c>
    </row>
    <row r="195" spans="1:9" x14ac:dyDescent="0.35">
      <c r="A195" s="34">
        <v>45379</v>
      </c>
      <c r="B195" s="34" t="str">
        <f t="shared" ref="B195:B258" si="7">TEXT(A195, "mmmm")</f>
        <v>March</v>
      </c>
      <c r="C195" s="4" t="str">
        <f t="shared" si="6"/>
        <v>Thursday</v>
      </c>
      <c r="D195" s="5">
        <v>45379.727144722223</v>
      </c>
      <c r="E195" s="6" t="str" cm="1">
        <f t="array" ref="E195">_xlfn.IFS(HOUR(D195)&gt;=20,"20-24 ",HOUR(D195)&gt;=16,"16-20",HOUR(D195)&gt;=12,"12-16",HOUR(D195)&lt;12,"7-12")</f>
        <v>16-20</v>
      </c>
      <c r="F195" s="6" t="s">
        <v>3</v>
      </c>
      <c r="G195" s="6" t="s">
        <v>23</v>
      </c>
      <c r="H195" s="6">
        <v>28.9</v>
      </c>
      <c r="I195" s="6" t="s">
        <v>11</v>
      </c>
    </row>
    <row r="196" spans="1:9" x14ac:dyDescent="0.35">
      <c r="A196" s="34">
        <v>45379</v>
      </c>
      <c r="B196" s="34" t="str">
        <f t="shared" si="7"/>
        <v>March</v>
      </c>
      <c r="C196" s="4" t="str">
        <f t="shared" si="6"/>
        <v>Thursday</v>
      </c>
      <c r="D196" s="5">
        <v>45379.731072361108</v>
      </c>
      <c r="E196" s="6" t="str" cm="1">
        <f t="array" ref="E196">_xlfn.IFS(HOUR(D196)&gt;=20,"20-24 ",HOUR(D196)&gt;=16,"16-20",HOUR(D196)&gt;=12,"12-16",HOUR(D196)&lt;12,"7-12")</f>
        <v>16-20</v>
      </c>
      <c r="F196" s="6" t="s">
        <v>3</v>
      </c>
      <c r="G196" s="6" t="s">
        <v>100</v>
      </c>
      <c r="H196" s="6">
        <v>38.700000000000003</v>
      </c>
      <c r="I196" s="6" t="s">
        <v>7</v>
      </c>
    </row>
    <row r="197" spans="1:9" x14ac:dyDescent="0.35">
      <c r="A197" s="34">
        <v>45380</v>
      </c>
      <c r="B197" s="34" t="str">
        <f t="shared" si="7"/>
        <v>March</v>
      </c>
      <c r="C197" s="4" t="str">
        <f t="shared" si="6"/>
        <v>Friday</v>
      </c>
      <c r="D197" s="5">
        <v>45380.455781192133</v>
      </c>
      <c r="E197" s="6" t="str" cm="1">
        <f t="array" ref="E197">_xlfn.IFS(HOUR(D197)&gt;=20,"20-24 ",HOUR(D197)&gt;=16,"16-20",HOUR(D197)&gt;=12,"12-16",HOUR(D197)&lt;12,"7-12")</f>
        <v>7-12</v>
      </c>
      <c r="F197" s="6" t="s">
        <v>3</v>
      </c>
      <c r="G197" s="6" t="s">
        <v>101</v>
      </c>
      <c r="H197" s="6">
        <v>38.700000000000003</v>
      </c>
      <c r="I197" s="6" t="s">
        <v>7</v>
      </c>
    </row>
    <row r="198" spans="1:9" x14ac:dyDescent="0.35">
      <c r="A198" s="34">
        <v>45380</v>
      </c>
      <c r="B198" s="34" t="str">
        <f t="shared" si="7"/>
        <v>March</v>
      </c>
      <c r="C198" s="4" t="str">
        <f t="shared" si="6"/>
        <v>Friday</v>
      </c>
      <c r="D198" s="5">
        <v>45380.52381230324</v>
      </c>
      <c r="E198" s="6" t="str" cm="1">
        <f t="array" ref="E198">_xlfn.IFS(HOUR(D198)&gt;=20,"20-24 ",HOUR(D198)&gt;=16,"16-20",HOUR(D198)&gt;=12,"12-16",HOUR(D198)&lt;12,"7-12")</f>
        <v>12-16</v>
      </c>
      <c r="F198" s="6" t="s">
        <v>3</v>
      </c>
      <c r="G198" s="6" t="s">
        <v>102</v>
      </c>
      <c r="H198" s="6">
        <v>38.700000000000003</v>
      </c>
      <c r="I198" s="6" t="s">
        <v>43</v>
      </c>
    </row>
    <row r="199" spans="1:9" x14ac:dyDescent="0.35">
      <c r="A199" s="34">
        <v>45380</v>
      </c>
      <c r="B199" s="34" t="str">
        <f t="shared" si="7"/>
        <v>March</v>
      </c>
      <c r="C199" s="4" t="str">
        <f t="shared" si="6"/>
        <v>Friday</v>
      </c>
      <c r="D199" s="5">
        <v>45380.528844039349</v>
      </c>
      <c r="E199" s="6" t="str" cm="1">
        <f t="array" ref="E199">_xlfn.IFS(HOUR(D199)&gt;=20,"20-24 ",HOUR(D199)&gt;=16,"16-20",HOUR(D199)&gt;=12,"12-16",HOUR(D199)&lt;12,"7-12")</f>
        <v>12-16</v>
      </c>
      <c r="F199" s="6" t="s">
        <v>3</v>
      </c>
      <c r="G199" s="6" t="s">
        <v>102</v>
      </c>
      <c r="H199" s="6">
        <v>38.700000000000003</v>
      </c>
      <c r="I199" s="6" t="s">
        <v>43</v>
      </c>
    </row>
    <row r="200" spans="1:9" x14ac:dyDescent="0.35">
      <c r="A200" s="34">
        <v>45380</v>
      </c>
      <c r="B200" s="34" t="str">
        <f t="shared" si="7"/>
        <v>March</v>
      </c>
      <c r="C200" s="4" t="str">
        <f t="shared" si="6"/>
        <v>Friday</v>
      </c>
      <c r="D200" s="5">
        <v>45380.557460856478</v>
      </c>
      <c r="E200" s="6" t="str" cm="1">
        <f t="array" ref="E200">_xlfn.IFS(HOUR(D200)&gt;=20,"20-24 ",HOUR(D200)&gt;=16,"16-20",HOUR(D200)&gt;=12,"12-16",HOUR(D200)&lt;12,"7-12")</f>
        <v>12-16</v>
      </c>
      <c r="F200" s="6" t="s">
        <v>21</v>
      </c>
      <c r="G200" s="6" t="s">
        <v>463</v>
      </c>
      <c r="H200" s="6">
        <v>40</v>
      </c>
      <c r="I200" s="6" t="s">
        <v>43</v>
      </c>
    </row>
    <row r="201" spans="1:9" x14ac:dyDescent="0.35">
      <c r="A201" s="34">
        <v>45381</v>
      </c>
      <c r="B201" s="34" t="str">
        <f t="shared" si="7"/>
        <v>March</v>
      </c>
      <c r="C201" s="4" t="str">
        <f t="shared" si="6"/>
        <v>Saturday</v>
      </c>
      <c r="D201" s="5">
        <v>45381.499535347219</v>
      </c>
      <c r="E201" s="6" t="str" cm="1">
        <f t="array" ref="E201">_xlfn.IFS(HOUR(D201)&gt;=20,"20-24 ",HOUR(D201)&gt;=16,"16-20",HOUR(D201)&gt;=12,"12-16",HOUR(D201)&lt;12,"7-12")</f>
        <v>7-12</v>
      </c>
      <c r="F201" s="6" t="s">
        <v>3</v>
      </c>
      <c r="G201" s="6" t="s">
        <v>83</v>
      </c>
      <c r="H201" s="6">
        <v>38.700000000000003</v>
      </c>
      <c r="I201" s="6" t="s">
        <v>7</v>
      </c>
    </row>
    <row r="202" spans="1:9" x14ac:dyDescent="0.35">
      <c r="A202" s="34">
        <v>45381</v>
      </c>
      <c r="B202" s="34" t="str">
        <f t="shared" si="7"/>
        <v>March</v>
      </c>
      <c r="C202" s="4" t="str">
        <f t="shared" si="6"/>
        <v>Saturday</v>
      </c>
      <c r="D202" s="5">
        <v>45381.575993229169</v>
      </c>
      <c r="E202" s="6" t="str" cm="1">
        <f t="array" ref="E202">_xlfn.IFS(HOUR(D202)&gt;=20,"20-24 ",HOUR(D202)&gt;=16,"16-20",HOUR(D202)&gt;=12,"12-16",HOUR(D202)&lt;12,"7-12")</f>
        <v>12-16</v>
      </c>
      <c r="F202" s="6" t="s">
        <v>21</v>
      </c>
      <c r="G202" s="6" t="s">
        <v>463</v>
      </c>
      <c r="H202" s="6">
        <v>40</v>
      </c>
      <c r="I202" s="6" t="s">
        <v>43</v>
      </c>
    </row>
    <row r="203" spans="1:9" x14ac:dyDescent="0.35">
      <c r="A203" s="34">
        <v>45381</v>
      </c>
      <c r="B203" s="34" t="str">
        <f t="shared" si="7"/>
        <v>March</v>
      </c>
      <c r="C203" s="4" t="str">
        <f t="shared" si="6"/>
        <v>Saturday</v>
      </c>
      <c r="D203" s="5">
        <v>45381.67536789352</v>
      </c>
      <c r="E203" s="6" t="str" cm="1">
        <f t="array" ref="E203">_xlfn.IFS(HOUR(D203)&gt;=20,"20-24 ",HOUR(D203)&gt;=16,"16-20",HOUR(D203)&gt;=12,"12-16",HOUR(D203)&lt;12,"7-12")</f>
        <v>16-20</v>
      </c>
      <c r="F203" s="6" t="s">
        <v>3</v>
      </c>
      <c r="G203" s="6" t="s">
        <v>29</v>
      </c>
      <c r="H203" s="6">
        <v>38.700000000000003</v>
      </c>
      <c r="I203" s="6" t="s">
        <v>7</v>
      </c>
    </row>
    <row r="204" spans="1:9" x14ac:dyDescent="0.35">
      <c r="A204" s="34">
        <v>45381</v>
      </c>
      <c r="B204" s="34" t="str">
        <f t="shared" si="7"/>
        <v>March</v>
      </c>
      <c r="C204" s="4" t="str">
        <f t="shared" si="6"/>
        <v>Saturday</v>
      </c>
      <c r="D204" s="5">
        <v>45381.692135567129</v>
      </c>
      <c r="E204" s="6" t="str" cm="1">
        <f t="array" ref="E204">_xlfn.IFS(HOUR(D204)&gt;=20,"20-24 ",HOUR(D204)&gt;=16,"16-20",HOUR(D204)&gt;=12,"12-16",HOUR(D204)&lt;12,"7-12")</f>
        <v>16-20</v>
      </c>
      <c r="F204" s="6" t="s">
        <v>3</v>
      </c>
      <c r="G204" s="6" t="s">
        <v>19</v>
      </c>
      <c r="H204" s="6">
        <v>38.700000000000003</v>
      </c>
      <c r="I204" s="6" t="s">
        <v>7</v>
      </c>
    </row>
    <row r="205" spans="1:9" x14ac:dyDescent="0.35">
      <c r="A205" s="34">
        <v>45381</v>
      </c>
      <c r="B205" s="34" t="str">
        <f t="shared" si="7"/>
        <v>March</v>
      </c>
      <c r="C205" s="4" t="str">
        <f t="shared" si="6"/>
        <v>Saturday</v>
      </c>
      <c r="D205" s="5">
        <v>45381.6930272338</v>
      </c>
      <c r="E205" s="6" t="str" cm="1">
        <f t="array" ref="E205">_xlfn.IFS(HOUR(D205)&gt;=20,"20-24 ",HOUR(D205)&gt;=16,"16-20",HOUR(D205)&gt;=12,"12-16",HOUR(D205)&lt;12,"7-12")</f>
        <v>16-20</v>
      </c>
      <c r="F205" s="6" t="s">
        <v>3</v>
      </c>
      <c r="G205" s="6" t="s">
        <v>19</v>
      </c>
      <c r="H205" s="6">
        <v>33.799999999999997</v>
      </c>
      <c r="I205" s="6" t="s">
        <v>14</v>
      </c>
    </row>
    <row r="206" spans="1:9" x14ac:dyDescent="0.35">
      <c r="A206" s="34">
        <v>45382</v>
      </c>
      <c r="B206" s="34" t="str">
        <f t="shared" si="7"/>
        <v>March</v>
      </c>
      <c r="C206" s="4" t="str">
        <f t="shared" si="6"/>
        <v>Sunday</v>
      </c>
      <c r="D206" s="5">
        <v>45382.444496793978</v>
      </c>
      <c r="E206" s="6" t="str" cm="1">
        <f t="array" ref="E206">_xlfn.IFS(HOUR(D206)&gt;=20,"20-24 ",HOUR(D206)&gt;=16,"16-20",HOUR(D206)&gt;=12,"12-16",HOUR(D206)&lt;12,"7-12")</f>
        <v>7-12</v>
      </c>
      <c r="F206" s="6" t="s">
        <v>3</v>
      </c>
      <c r="G206" s="6" t="s">
        <v>103</v>
      </c>
      <c r="H206" s="6">
        <v>38.700000000000003</v>
      </c>
      <c r="I206" s="6" t="s">
        <v>43</v>
      </c>
    </row>
    <row r="207" spans="1:9" x14ac:dyDescent="0.35">
      <c r="A207" s="34">
        <v>45382</v>
      </c>
      <c r="B207" s="34" t="str">
        <f t="shared" si="7"/>
        <v>March</v>
      </c>
      <c r="C207" s="4" t="str">
        <f t="shared" si="6"/>
        <v>Sunday</v>
      </c>
      <c r="D207" s="5">
        <v>45382.817187499997</v>
      </c>
      <c r="E207" s="6" t="str" cm="1">
        <f t="array" ref="E207">_xlfn.IFS(HOUR(D207)&gt;=20,"20-24 ",HOUR(D207)&gt;=16,"16-20",HOUR(D207)&gt;=12,"12-16",HOUR(D207)&lt;12,"7-12")</f>
        <v>16-20</v>
      </c>
      <c r="F207" s="6" t="s">
        <v>21</v>
      </c>
      <c r="G207" s="6" t="s">
        <v>463</v>
      </c>
      <c r="H207" s="6">
        <v>30</v>
      </c>
      <c r="I207" s="6" t="s">
        <v>11</v>
      </c>
    </row>
    <row r="208" spans="1:9" x14ac:dyDescent="0.35">
      <c r="A208" s="34">
        <v>45383</v>
      </c>
      <c r="B208" s="34" t="str">
        <f t="shared" si="7"/>
        <v>April</v>
      </c>
      <c r="C208" s="4" t="str">
        <f t="shared" si="6"/>
        <v>Monday</v>
      </c>
      <c r="D208" s="5">
        <v>45383.436662048611</v>
      </c>
      <c r="E208" s="6" t="str" cm="1">
        <f t="array" ref="E208">_xlfn.IFS(HOUR(D208)&gt;=20,"20-24 ",HOUR(D208)&gt;=16,"16-20",HOUR(D208)&gt;=12,"12-16",HOUR(D208)&lt;12,"7-12")</f>
        <v>7-12</v>
      </c>
      <c r="F208" s="6" t="s">
        <v>3</v>
      </c>
      <c r="G208" s="6" t="s">
        <v>12</v>
      </c>
      <c r="H208" s="6">
        <v>28.9</v>
      </c>
      <c r="I208" s="6" t="s">
        <v>11</v>
      </c>
    </row>
    <row r="209" spans="1:9" x14ac:dyDescent="0.35">
      <c r="A209" s="34">
        <v>45383</v>
      </c>
      <c r="B209" s="34" t="str">
        <f t="shared" si="7"/>
        <v>April</v>
      </c>
      <c r="C209" s="4" t="str">
        <f t="shared" si="6"/>
        <v>Monday</v>
      </c>
      <c r="D209" s="5">
        <v>45383.437295347219</v>
      </c>
      <c r="E209" s="6" t="str" cm="1">
        <f t="array" ref="E209">_xlfn.IFS(HOUR(D209)&gt;=20,"20-24 ",HOUR(D209)&gt;=16,"16-20",HOUR(D209)&gt;=12,"12-16",HOUR(D209)&lt;12,"7-12")</f>
        <v>7-12</v>
      </c>
      <c r="F209" s="6" t="s">
        <v>3</v>
      </c>
      <c r="G209" s="6" t="s">
        <v>12</v>
      </c>
      <c r="H209" s="6">
        <v>33.799999999999997</v>
      </c>
      <c r="I209" s="6" t="s">
        <v>14</v>
      </c>
    </row>
    <row r="210" spans="1:9" x14ac:dyDescent="0.35">
      <c r="A210" s="34">
        <v>45383</v>
      </c>
      <c r="B210" s="34" t="str">
        <f t="shared" si="7"/>
        <v>April</v>
      </c>
      <c r="C210" s="4" t="str">
        <f t="shared" si="6"/>
        <v>Monday</v>
      </c>
      <c r="D210" s="5">
        <v>45383.438006192133</v>
      </c>
      <c r="E210" s="6" t="str" cm="1">
        <f t="array" ref="E210">_xlfn.IFS(HOUR(D210)&gt;=20,"20-24 ",HOUR(D210)&gt;=16,"16-20",HOUR(D210)&gt;=12,"12-16",HOUR(D210)&lt;12,"7-12")</f>
        <v>7-12</v>
      </c>
      <c r="F210" s="6" t="s">
        <v>3</v>
      </c>
      <c r="G210" s="6" t="s">
        <v>12</v>
      </c>
      <c r="H210" s="6">
        <v>33.799999999999997</v>
      </c>
      <c r="I210" s="6" t="s">
        <v>14</v>
      </c>
    </row>
    <row r="211" spans="1:9" x14ac:dyDescent="0.35">
      <c r="A211" s="34">
        <v>45383</v>
      </c>
      <c r="B211" s="34" t="str">
        <f t="shared" si="7"/>
        <v>April</v>
      </c>
      <c r="C211" s="4" t="str">
        <f t="shared" si="6"/>
        <v>Monday</v>
      </c>
      <c r="D211" s="5">
        <v>45383.46925736111</v>
      </c>
      <c r="E211" s="6" t="str" cm="1">
        <f t="array" ref="E211">_xlfn.IFS(HOUR(D211)&gt;=20,"20-24 ",HOUR(D211)&gt;=16,"16-20",HOUR(D211)&gt;=12,"12-16",HOUR(D211)&lt;12,"7-12")</f>
        <v>7-12</v>
      </c>
      <c r="F211" s="6" t="s">
        <v>3</v>
      </c>
      <c r="G211" s="6" t="s">
        <v>19</v>
      </c>
      <c r="H211" s="6">
        <v>33.799999999999997</v>
      </c>
      <c r="I211" s="6" t="s">
        <v>14</v>
      </c>
    </row>
    <row r="212" spans="1:9" x14ac:dyDescent="0.35">
      <c r="A212" s="34">
        <v>45383</v>
      </c>
      <c r="B212" s="34" t="str">
        <f t="shared" si="7"/>
        <v>April</v>
      </c>
      <c r="C212" s="4" t="str">
        <f t="shared" si="6"/>
        <v>Monday</v>
      </c>
      <c r="D212" s="5">
        <v>45383.709524583333</v>
      </c>
      <c r="E212" s="6" t="str" cm="1">
        <f t="array" ref="E212">_xlfn.IFS(HOUR(D212)&gt;=20,"20-24 ",HOUR(D212)&gt;=16,"16-20",HOUR(D212)&gt;=12,"12-16",HOUR(D212)&lt;12,"7-12")</f>
        <v>16-20</v>
      </c>
      <c r="F212" s="6" t="s">
        <v>21</v>
      </c>
      <c r="G212" s="6" t="s">
        <v>463</v>
      </c>
      <c r="H212" s="6">
        <v>40</v>
      </c>
      <c r="I212" s="6" t="s">
        <v>43</v>
      </c>
    </row>
    <row r="213" spans="1:9" x14ac:dyDescent="0.35">
      <c r="A213" s="34">
        <v>45383</v>
      </c>
      <c r="B213" s="34" t="str">
        <f t="shared" si="7"/>
        <v>April</v>
      </c>
      <c r="C213" s="4" t="str">
        <f t="shared" si="6"/>
        <v>Monday</v>
      </c>
      <c r="D213" s="5">
        <v>45383.762990416668</v>
      </c>
      <c r="E213" s="6" t="str" cm="1">
        <f t="array" ref="E213">_xlfn.IFS(HOUR(D213)&gt;=20,"20-24 ",HOUR(D213)&gt;=16,"16-20",HOUR(D213)&gt;=12,"12-16",HOUR(D213)&lt;12,"7-12")</f>
        <v>16-20</v>
      </c>
      <c r="F213" s="6" t="s">
        <v>3</v>
      </c>
      <c r="G213" s="6" t="s">
        <v>37</v>
      </c>
      <c r="H213" s="6">
        <v>33.799999999999997</v>
      </c>
      <c r="I213" s="6" t="s">
        <v>14</v>
      </c>
    </row>
    <row r="214" spans="1:9" x14ac:dyDescent="0.35">
      <c r="A214" s="34">
        <v>45383</v>
      </c>
      <c r="B214" s="34" t="str">
        <f t="shared" si="7"/>
        <v>April</v>
      </c>
      <c r="C214" s="4" t="str">
        <f t="shared" si="6"/>
        <v>Monday</v>
      </c>
      <c r="D214" s="5">
        <v>45383.781567546299</v>
      </c>
      <c r="E214" s="6" t="str" cm="1">
        <f t="array" ref="E214">_xlfn.IFS(HOUR(D214)&gt;=20,"20-24 ",HOUR(D214)&gt;=16,"16-20",HOUR(D214)&gt;=12,"12-16",HOUR(D214)&lt;12,"7-12")</f>
        <v>16-20</v>
      </c>
      <c r="F214" s="6" t="s">
        <v>3</v>
      </c>
      <c r="G214" s="6" t="s">
        <v>104</v>
      </c>
      <c r="H214" s="6">
        <v>38.700000000000003</v>
      </c>
      <c r="I214" s="6" t="s">
        <v>9</v>
      </c>
    </row>
    <row r="215" spans="1:9" x14ac:dyDescent="0.35">
      <c r="A215" s="34">
        <v>45384</v>
      </c>
      <c r="B215" s="34" t="str">
        <f t="shared" si="7"/>
        <v>April</v>
      </c>
      <c r="C215" s="4" t="str">
        <f t="shared" si="6"/>
        <v>Tuesday</v>
      </c>
      <c r="D215" s="5">
        <v>45384.417523402779</v>
      </c>
      <c r="E215" s="6" t="str" cm="1">
        <f t="array" ref="E215">_xlfn.IFS(HOUR(D215)&gt;=20,"20-24 ",HOUR(D215)&gt;=16,"16-20",HOUR(D215)&gt;=12,"12-16",HOUR(D215)&lt;12,"7-12")</f>
        <v>7-12</v>
      </c>
      <c r="F215" s="6" t="s">
        <v>3</v>
      </c>
      <c r="G215" s="6" t="s">
        <v>6</v>
      </c>
      <c r="H215" s="6">
        <v>38.700000000000003</v>
      </c>
      <c r="I215" s="6" t="s">
        <v>7</v>
      </c>
    </row>
    <row r="216" spans="1:9" x14ac:dyDescent="0.35">
      <c r="A216" s="34">
        <v>45384</v>
      </c>
      <c r="B216" s="34" t="str">
        <f t="shared" si="7"/>
        <v>April</v>
      </c>
      <c r="C216" s="4" t="str">
        <f t="shared" si="6"/>
        <v>Tuesday</v>
      </c>
      <c r="D216" s="5">
        <v>45384.679562141202</v>
      </c>
      <c r="E216" s="6" t="str" cm="1">
        <f t="array" ref="E216">_xlfn.IFS(HOUR(D216)&gt;=20,"20-24 ",HOUR(D216)&gt;=16,"16-20",HOUR(D216)&gt;=12,"12-16",HOUR(D216)&lt;12,"7-12")</f>
        <v>16-20</v>
      </c>
      <c r="F216" s="6" t="s">
        <v>3</v>
      </c>
      <c r="G216" s="6" t="s">
        <v>10</v>
      </c>
      <c r="H216" s="6">
        <v>28.9</v>
      </c>
      <c r="I216" s="6" t="s">
        <v>11</v>
      </c>
    </row>
    <row r="217" spans="1:9" x14ac:dyDescent="0.35">
      <c r="A217" s="34">
        <v>45384</v>
      </c>
      <c r="B217" s="34" t="str">
        <f t="shared" si="7"/>
        <v>April</v>
      </c>
      <c r="C217" s="4" t="str">
        <f t="shared" si="6"/>
        <v>Tuesday</v>
      </c>
      <c r="D217" s="5">
        <v>45384.680190509258</v>
      </c>
      <c r="E217" s="6" t="str" cm="1">
        <f t="array" ref="E217">_xlfn.IFS(HOUR(D217)&gt;=20,"20-24 ",HOUR(D217)&gt;=16,"16-20",HOUR(D217)&gt;=12,"12-16",HOUR(D217)&lt;12,"7-12")</f>
        <v>16-20</v>
      </c>
      <c r="F217" s="6" t="s">
        <v>3</v>
      </c>
      <c r="G217" s="6" t="s">
        <v>10</v>
      </c>
      <c r="H217" s="6">
        <v>28.9</v>
      </c>
      <c r="I217" s="6" t="s">
        <v>28</v>
      </c>
    </row>
    <row r="218" spans="1:9" x14ac:dyDescent="0.35">
      <c r="A218" s="34">
        <v>45384</v>
      </c>
      <c r="B218" s="34" t="str">
        <f t="shared" si="7"/>
        <v>April</v>
      </c>
      <c r="C218" s="4" t="str">
        <f t="shared" si="6"/>
        <v>Tuesday</v>
      </c>
      <c r="D218" s="5">
        <v>45384.833008587964</v>
      </c>
      <c r="E218" s="6" t="str" cm="1">
        <f t="array" ref="E218">_xlfn.IFS(HOUR(D218)&gt;=20,"20-24 ",HOUR(D218)&gt;=16,"16-20",HOUR(D218)&gt;=12,"12-16",HOUR(D218)&lt;12,"7-12")</f>
        <v>16-20</v>
      </c>
      <c r="F218" s="6" t="s">
        <v>21</v>
      </c>
      <c r="G218" s="6" t="s">
        <v>463</v>
      </c>
      <c r="H218" s="6">
        <v>40</v>
      </c>
      <c r="I218" s="6" t="s">
        <v>43</v>
      </c>
    </row>
    <row r="219" spans="1:9" x14ac:dyDescent="0.35">
      <c r="A219" s="34">
        <v>45385</v>
      </c>
      <c r="B219" s="34" t="str">
        <f t="shared" si="7"/>
        <v>April</v>
      </c>
      <c r="C219" s="4" t="str">
        <f t="shared" si="6"/>
        <v>Wednesday</v>
      </c>
      <c r="D219" s="5">
        <v>45385.430019027779</v>
      </c>
      <c r="E219" s="6" t="str" cm="1">
        <f t="array" ref="E219">_xlfn.IFS(HOUR(D219)&gt;=20,"20-24 ",HOUR(D219)&gt;=16,"16-20",HOUR(D219)&gt;=12,"12-16",HOUR(D219)&lt;12,"7-12")</f>
        <v>7-12</v>
      </c>
      <c r="F219" s="6" t="s">
        <v>3</v>
      </c>
      <c r="G219" s="6" t="s">
        <v>10</v>
      </c>
      <c r="H219" s="6">
        <v>28.9</v>
      </c>
      <c r="I219" s="6" t="s">
        <v>28</v>
      </c>
    </row>
    <row r="220" spans="1:9" x14ac:dyDescent="0.35">
      <c r="A220" s="34">
        <v>45385</v>
      </c>
      <c r="B220" s="34" t="str">
        <f t="shared" si="7"/>
        <v>April</v>
      </c>
      <c r="C220" s="4" t="str">
        <f t="shared" si="6"/>
        <v>Wednesday</v>
      </c>
      <c r="D220" s="5">
        <v>45385.430644155094</v>
      </c>
      <c r="E220" s="6" t="str" cm="1">
        <f t="array" ref="E220">_xlfn.IFS(HOUR(D220)&gt;=20,"20-24 ",HOUR(D220)&gt;=16,"16-20",HOUR(D220)&gt;=12,"12-16",HOUR(D220)&lt;12,"7-12")</f>
        <v>7-12</v>
      </c>
      <c r="F220" s="6" t="s">
        <v>3</v>
      </c>
      <c r="G220" s="6" t="s">
        <v>10</v>
      </c>
      <c r="H220" s="6">
        <v>28.9</v>
      </c>
      <c r="I220" s="6" t="s">
        <v>11</v>
      </c>
    </row>
    <row r="221" spans="1:9" x14ac:dyDescent="0.35">
      <c r="A221" s="34">
        <v>45385</v>
      </c>
      <c r="B221" s="34" t="str">
        <f t="shared" si="7"/>
        <v>April</v>
      </c>
      <c r="C221" s="4" t="str">
        <f t="shared" si="6"/>
        <v>Wednesday</v>
      </c>
      <c r="D221" s="5">
        <v>45385.550062118054</v>
      </c>
      <c r="E221" s="6" t="str" cm="1">
        <f t="array" ref="E221">_xlfn.IFS(HOUR(D221)&gt;=20,"20-24 ",HOUR(D221)&gt;=16,"16-20",HOUR(D221)&gt;=12,"12-16",HOUR(D221)&lt;12,"7-12")</f>
        <v>12-16</v>
      </c>
      <c r="F221" s="6" t="s">
        <v>3</v>
      </c>
      <c r="G221" s="6" t="s">
        <v>23</v>
      </c>
      <c r="H221" s="6">
        <v>38.700000000000003</v>
      </c>
      <c r="I221" s="6" t="s">
        <v>43</v>
      </c>
    </row>
    <row r="222" spans="1:9" x14ac:dyDescent="0.35">
      <c r="A222" s="34">
        <v>45385</v>
      </c>
      <c r="B222" s="34" t="str">
        <f t="shared" si="7"/>
        <v>April</v>
      </c>
      <c r="C222" s="4" t="str">
        <f t="shared" si="6"/>
        <v>Wednesday</v>
      </c>
      <c r="D222" s="5">
        <v>45385.650135821757</v>
      </c>
      <c r="E222" s="6" t="str" cm="1">
        <f t="array" ref="E222">_xlfn.IFS(HOUR(D222)&gt;=20,"20-24 ",HOUR(D222)&gt;=16,"16-20",HOUR(D222)&gt;=12,"12-16",HOUR(D222)&lt;12,"7-12")</f>
        <v>12-16</v>
      </c>
      <c r="F222" s="6" t="s">
        <v>21</v>
      </c>
      <c r="G222" s="6" t="s">
        <v>463</v>
      </c>
      <c r="H222" s="6">
        <v>30</v>
      </c>
      <c r="I222" s="6" t="s">
        <v>28</v>
      </c>
    </row>
    <row r="223" spans="1:9" x14ac:dyDescent="0.35">
      <c r="A223" s="34">
        <v>45386</v>
      </c>
      <c r="B223" s="34" t="str">
        <f t="shared" si="7"/>
        <v>April</v>
      </c>
      <c r="C223" s="4" t="str">
        <f t="shared" si="6"/>
        <v>Thursday</v>
      </c>
      <c r="D223" s="5">
        <v>45386.447870231481</v>
      </c>
      <c r="E223" s="6" t="str" cm="1">
        <f t="array" ref="E223">_xlfn.IFS(HOUR(D223)&gt;=20,"20-24 ",HOUR(D223)&gt;=16,"16-20",HOUR(D223)&gt;=12,"12-16",HOUR(D223)&lt;12,"7-12")</f>
        <v>7-12</v>
      </c>
      <c r="F223" s="6" t="s">
        <v>3</v>
      </c>
      <c r="G223" s="6" t="s">
        <v>105</v>
      </c>
      <c r="H223" s="6">
        <v>38.700000000000003</v>
      </c>
      <c r="I223" s="6" t="s">
        <v>7</v>
      </c>
    </row>
    <row r="224" spans="1:9" x14ac:dyDescent="0.35">
      <c r="A224" s="34">
        <v>45386</v>
      </c>
      <c r="B224" s="34" t="str">
        <f t="shared" si="7"/>
        <v>April</v>
      </c>
      <c r="C224" s="4" t="str">
        <f t="shared" si="6"/>
        <v>Thursday</v>
      </c>
      <c r="D224" s="5">
        <v>45386.476829687497</v>
      </c>
      <c r="E224" s="6" t="str" cm="1">
        <f t="array" ref="E224">_xlfn.IFS(HOUR(D224)&gt;=20,"20-24 ",HOUR(D224)&gt;=16,"16-20",HOUR(D224)&gt;=12,"12-16",HOUR(D224)&lt;12,"7-12")</f>
        <v>7-12</v>
      </c>
      <c r="F224" s="6" t="s">
        <v>3</v>
      </c>
      <c r="G224" s="6" t="s">
        <v>106</v>
      </c>
      <c r="H224" s="6">
        <v>38.700000000000003</v>
      </c>
      <c r="I224" s="6" t="s">
        <v>7</v>
      </c>
    </row>
    <row r="225" spans="1:9" x14ac:dyDescent="0.35">
      <c r="A225" s="34">
        <v>45386</v>
      </c>
      <c r="B225" s="34" t="str">
        <f t="shared" si="7"/>
        <v>April</v>
      </c>
      <c r="C225" s="4" t="str">
        <f t="shared" si="6"/>
        <v>Thursday</v>
      </c>
      <c r="D225" s="5">
        <v>45386.477643645834</v>
      </c>
      <c r="E225" s="6" t="str" cm="1">
        <f t="array" ref="E225">_xlfn.IFS(HOUR(D225)&gt;=20,"20-24 ",HOUR(D225)&gt;=16,"16-20",HOUR(D225)&gt;=12,"12-16",HOUR(D225)&lt;12,"7-12")</f>
        <v>7-12</v>
      </c>
      <c r="F225" s="6" t="s">
        <v>3</v>
      </c>
      <c r="G225" s="6" t="s">
        <v>107</v>
      </c>
      <c r="H225" s="6">
        <v>38.700000000000003</v>
      </c>
      <c r="I225" s="6" t="s">
        <v>43</v>
      </c>
    </row>
    <row r="226" spans="1:9" x14ac:dyDescent="0.35">
      <c r="A226" s="34">
        <v>45386</v>
      </c>
      <c r="B226" s="34" t="str">
        <f t="shared" si="7"/>
        <v>April</v>
      </c>
      <c r="C226" s="4" t="str">
        <f t="shared" si="6"/>
        <v>Thursday</v>
      </c>
      <c r="D226" s="5">
        <v>45386.515997870367</v>
      </c>
      <c r="E226" s="6" t="str" cm="1">
        <f t="array" ref="E226">_xlfn.IFS(HOUR(D226)&gt;=20,"20-24 ",HOUR(D226)&gt;=16,"16-20",HOUR(D226)&gt;=12,"12-16",HOUR(D226)&lt;12,"7-12")</f>
        <v>12-16</v>
      </c>
      <c r="F226" s="6" t="s">
        <v>3</v>
      </c>
      <c r="G226" s="6" t="s">
        <v>108</v>
      </c>
      <c r="H226" s="6">
        <v>28.9</v>
      </c>
      <c r="I226" s="6" t="s">
        <v>28</v>
      </c>
    </row>
    <row r="227" spans="1:9" x14ac:dyDescent="0.35">
      <c r="A227" s="34">
        <v>45386</v>
      </c>
      <c r="B227" s="34" t="str">
        <f t="shared" si="7"/>
        <v>April</v>
      </c>
      <c r="C227" s="4" t="str">
        <f t="shared" si="6"/>
        <v>Thursday</v>
      </c>
      <c r="D227" s="5">
        <v>45386.820922916668</v>
      </c>
      <c r="E227" s="6" t="str" cm="1">
        <f t="array" ref="E227">_xlfn.IFS(HOUR(D227)&gt;=20,"20-24 ",HOUR(D227)&gt;=16,"16-20",HOUR(D227)&gt;=12,"12-16",HOUR(D227)&lt;12,"7-12")</f>
        <v>16-20</v>
      </c>
      <c r="F227" s="6" t="s">
        <v>21</v>
      </c>
      <c r="G227" s="6" t="s">
        <v>463</v>
      </c>
      <c r="H227" s="6">
        <v>40</v>
      </c>
      <c r="I227" s="6" t="s">
        <v>7</v>
      </c>
    </row>
    <row r="228" spans="1:9" x14ac:dyDescent="0.35">
      <c r="A228" s="34">
        <v>45387</v>
      </c>
      <c r="B228" s="34" t="str">
        <f t="shared" si="7"/>
        <v>April</v>
      </c>
      <c r="C228" s="4" t="str">
        <f t="shared" si="6"/>
        <v>Friday</v>
      </c>
      <c r="D228" s="5">
        <v>45387.444938981484</v>
      </c>
      <c r="E228" s="6" t="str" cm="1">
        <f t="array" ref="E228">_xlfn.IFS(HOUR(D228)&gt;=20,"20-24 ",HOUR(D228)&gt;=16,"16-20",HOUR(D228)&gt;=12,"12-16",HOUR(D228)&lt;12,"7-12")</f>
        <v>7-12</v>
      </c>
      <c r="F228" s="6" t="s">
        <v>3</v>
      </c>
      <c r="G228" s="6" t="s">
        <v>109</v>
      </c>
      <c r="H228" s="6">
        <v>28.9</v>
      </c>
      <c r="I228" s="6" t="s">
        <v>11</v>
      </c>
    </row>
    <row r="229" spans="1:9" x14ac:dyDescent="0.35">
      <c r="A229" s="34">
        <v>45387</v>
      </c>
      <c r="B229" s="34" t="str">
        <f t="shared" si="7"/>
        <v>April</v>
      </c>
      <c r="C229" s="4" t="str">
        <f t="shared" si="6"/>
        <v>Friday</v>
      </c>
      <c r="D229" s="5">
        <v>45387.445905138891</v>
      </c>
      <c r="E229" s="6" t="str" cm="1">
        <f t="array" ref="E229">_xlfn.IFS(HOUR(D229)&gt;=20,"20-24 ",HOUR(D229)&gt;=16,"16-20",HOUR(D229)&gt;=12,"12-16",HOUR(D229)&lt;12,"7-12")</f>
        <v>7-12</v>
      </c>
      <c r="F229" s="6" t="s">
        <v>3</v>
      </c>
      <c r="G229" s="6" t="s">
        <v>23</v>
      </c>
      <c r="H229" s="6">
        <v>28.9</v>
      </c>
      <c r="I229" s="6" t="s">
        <v>11</v>
      </c>
    </row>
    <row r="230" spans="1:9" x14ac:dyDescent="0.35">
      <c r="A230" s="34">
        <v>45387</v>
      </c>
      <c r="B230" s="34" t="str">
        <f t="shared" si="7"/>
        <v>April</v>
      </c>
      <c r="C230" s="4" t="str">
        <f t="shared" si="6"/>
        <v>Friday</v>
      </c>
      <c r="D230" s="5">
        <v>45387.462669479166</v>
      </c>
      <c r="E230" s="6" t="str" cm="1">
        <f t="array" ref="E230">_xlfn.IFS(HOUR(D230)&gt;=20,"20-24 ",HOUR(D230)&gt;=16,"16-20",HOUR(D230)&gt;=12,"12-16",HOUR(D230)&lt;12,"7-12")</f>
        <v>7-12</v>
      </c>
      <c r="F230" s="6" t="s">
        <v>3</v>
      </c>
      <c r="G230" s="6" t="s">
        <v>110</v>
      </c>
      <c r="H230" s="6">
        <v>28.9</v>
      </c>
      <c r="I230" s="6" t="s">
        <v>28</v>
      </c>
    </row>
    <row r="231" spans="1:9" x14ac:dyDescent="0.35">
      <c r="A231" s="34">
        <v>45387</v>
      </c>
      <c r="B231" s="34" t="str">
        <f t="shared" si="7"/>
        <v>April</v>
      </c>
      <c r="C231" s="4" t="str">
        <f t="shared" si="6"/>
        <v>Friday</v>
      </c>
      <c r="D231" s="5">
        <v>45387.510046006944</v>
      </c>
      <c r="E231" s="6" t="str" cm="1">
        <f t="array" ref="E231">_xlfn.IFS(HOUR(D231)&gt;=20,"20-24 ",HOUR(D231)&gt;=16,"16-20",HOUR(D231)&gt;=12,"12-16",HOUR(D231)&lt;12,"7-12")</f>
        <v>12-16</v>
      </c>
      <c r="F231" s="6" t="s">
        <v>3</v>
      </c>
      <c r="G231" s="6" t="s">
        <v>111</v>
      </c>
      <c r="H231" s="6">
        <v>33.799999999999997</v>
      </c>
      <c r="I231" s="6" t="s">
        <v>14</v>
      </c>
    </row>
    <row r="232" spans="1:9" x14ac:dyDescent="0.35">
      <c r="A232" s="34">
        <v>45387</v>
      </c>
      <c r="B232" s="34" t="str">
        <f t="shared" si="7"/>
        <v>April</v>
      </c>
      <c r="C232" s="4" t="str">
        <f t="shared" si="6"/>
        <v>Friday</v>
      </c>
      <c r="D232" s="5">
        <v>45387.599772997688</v>
      </c>
      <c r="E232" s="6" t="str" cm="1">
        <f t="array" ref="E232">_xlfn.IFS(HOUR(D232)&gt;=20,"20-24 ",HOUR(D232)&gt;=16,"16-20",HOUR(D232)&gt;=12,"12-16",HOUR(D232)&lt;12,"7-12")</f>
        <v>12-16</v>
      </c>
      <c r="F232" s="6" t="s">
        <v>3</v>
      </c>
      <c r="G232" s="6" t="s">
        <v>112</v>
      </c>
      <c r="H232" s="6">
        <v>38.700000000000003</v>
      </c>
      <c r="I232" s="6" t="s">
        <v>7</v>
      </c>
    </row>
    <row r="233" spans="1:9" x14ac:dyDescent="0.35">
      <c r="A233" s="34">
        <v>45387</v>
      </c>
      <c r="B233" s="34" t="str">
        <f t="shared" si="7"/>
        <v>April</v>
      </c>
      <c r="C233" s="4" t="str">
        <f t="shared" si="6"/>
        <v>Friday</v>
      </c>
      <c r="D233" s="5">
        <v>45387.600583530089</v>
      </c>
      <c r="E233" s="6" t="str" cm="1">
        <f t="array" ref="E233">_xlfn.IFS(HOUR(D233)&gt;=20,"20-24 ",HOUR(D233)&gt;=16,"16-20",HOUR(D233)&gt;=12,"12-16",HOUR(D233)&lt;12,"7-12")</f>
        <v>12-16</v>
      </c>
      <c r="F233" s="6" t="s">
        <v>3</v>
      </c>
      <c r="G233" s="6" t="s">
        <v>112</v>
      </c>
      <c r="H233" s="6">
        <v>28.9</v>
      </c>
      <c r="I233" s="6" t="s">
        <v>28</v>
      </c>
    </row>
    <row r="234" spans="1:9" x14ac:dyDescent="0.35">
      <c r="A234" s="34">
        <v>45387</v>
      </c>
      <c r="B234" s="34" t="str">
        <f t="shared" si="7"/>
        <v>April</v>
      </c>
      <c r="C234" s="4" t="str">
        <f t="shared" si="6"/>
        <v>Friday</v>
      </c>
      <c r="D234" s="5">
        <v>45387.646416469906</v>
      </c>
      <c r="E234" s="6" t="str" cm="1">
        <f t="array" ref="E234">_xlfn.IFS(HOUR(D234)&gt;=20,"20-24 ",HOUR(D234)&gt;=16,"16-20",HOUR(D234)&gt;=12,"12-16",HOUR(D234)&lt;12,"7-12")</f>
        <v>12-16</v>
      </c>
      <c r="F234" s="6" t="s">
        <v>21</v>
      </c>
      <c r="G234" s="6" t="s">
        <v>463</v>
      </c>
      <c r="H234" s="6">
        <v>40</v>
      </c>
      <c r="I234" s="6" t="s">
        <v>7</v>
      </c>
    </row>
    <row r="235" spans="1:9" x14ac:dyDescent="0.35">
      <c r="A235" s="34">
        <v>45387</v>
      </c>
      <c r="B235" s="34" t="str">
        <f t="shared" si="7"/>
        <v>April</v>
      </c>
      <c r="C235" s="4" t="str">
        <f t="shared" si="6"/>
        <v>Friday</v>
      </c>
      <c r="D235" s="5">
        <v>45387.662682499998</v>
      </c>
      <c r="E235" s="6" t="str" cm="1">
        <f t="array" ref="E235">_xlfn.IFS(HOUR(D235)&gt;=20,"20-24 ",HOUR(D235)&gt;=16,"16-20",HOUR(D235)&gt;=12,"12-16",HOUR(D235)&lt;12,"7-12")</f>
        <v>12-16</v>
      </c>
      <c r="F235" s="6" t="s">
        <v>21</v>
      </c>
      <c r="G235" s="6" t="s">
        <v>463</v>
      </c>
      <c r="H235" s="6">
        <v>40</v>
      </c>
      <c r="I235" s="6" t="s">
        <v>43</v>
      </c>
    </row>
    <row r="236" spans="1:9" x14ac:dyDescent="0.35">
      <c r="A236" s="34">
        <v>45387</v>
      </c>
      <c r="B236" s="34" t="str">
        <f t="shared" si="7"/>
        <v>April</v>
      </c>
      <c r="C236" s="4" t="str">
        <f t="shared" si="6"/>
        <v>Friday</v>
      </c>
      <c r="D236" s="5">
        <v>45387.663552627317</v>
      </c>
      <c r="E236" s="6" t="str" cm="1">
        <f t="array" ref="E236">_xlfn.IFS(HOUR(D236)&gt;=20,"20-24 ",HOUR(D236)&gt;=16,"16-20",HOUR(D236)&gt;=12,"12-16",HOUR(D236)&lt;12,"7-12")</f>
        <v>12-16</v>
      </c>
      <c r="F236" s="6" t="s">
        <v>21</v>
      </c>
      <c r="G236" s="6" t="s">
        <v>463</v>
      </c>
      <c r="H236" s="6">
        <v>30</v>
      </c>
      <c r="I236" s="6" t="s">
        <v>11</v>
      </c>
    </row>
    <row r="237" spans="1:9" x14ac:dyDescent="0.35">
      <c r="A237" s="34">
        <v>45387</v>
      </c>
      <c r="B237" s="34" t="str">
        <f t="shared" si="7"/>
        <v>April</v>
      </c>
      <c r="C237" s="4" t="str">
        <f t="shared" si="6"/>
        <v>Friday</v>
      </c>
      <c r="D237" s="5">
        <v>45387.678981192126</v>
      </c>
      <c r="E237" s="6" t="str" cm="1">
        <f t="array" ref="E237">_xlfn.IFS(HOUR(D237)&gt;=20,"20-24 ",HOUR(D237)&gt;=16,"16-20",HOUR(D237)&gt;=12,"12-16",HOUR(D237)&lt;12,"7-12")</f>
        <v>16-20</v>
      </c>
      <c r="F237" s="6" t="s">
        <v>21</v>
      </c>
      <c r="G237" s="6" t="s">
        <v>463</v>
      </c>
      <c r="H237" s="6">
        <v>40</v>
      </c>
      <c r="I237" s="6" t="s">
        <v>18</v>
      </c>
    </row>
    <row r="238" spans="1:9" x14ac:dyDescent="0.35">
      <c r="A238" s="34">
        <v>45387</v>
      </c>
      <c r="B238" s="34" t="str">
        <f t="shared" si="7"/>
        <v>April</v>
      </c>
      <c r="C238" s="4" t="str">
        <f t="shared" si="6"/>
        <v>Friday</v>
      </c>
      <c r="D238" s="5">
        <v>45387.679439328705</v>
      </c>
      <c r="E238" s="6" t="str" cm="1">
        <f t="array" ref="E238">_xlfn.IFS(HOUR(D238)&gt;=20,"20-24 ",HOUR(D238)&gt;=16,"16-20",HOUR(D238)&gt;=12,"12-16",HOUR(D238)&lt;12,"7-12")</f>
        <v>16-20</v>
      </c>
      <c r="F238" s="6" t="s">
        <v>3</v>
      </c>
      <c r="G238" s="6" t="s">
        <v>10</v>
      </c>
      <c r="H238" s="6">
        <v>24</v>
      </c>
      <c r="I238" s="6" t="s">
        <v>35</v>
      </c>
    </row>
    <row r="239" spans="1:9" x14ac:dyDescent="0.35">
      <c r="A239" s="34">
        <v>45388</v>
      </c>
      <c r="B239" s="34" t="str">
        <f t="shared" si="7"/>
        <v>April</v>
      </c>
      <c r="C239" s="4" t="str">
        <f t="shared" si="6"/>
        <v>Saturday</v>
      </c>
      <c r="D239" s="5">
        <v>45388.522585625004</v>
      </c>
      <c r="E239" s="6" t="str" cm="1">
        <f t="array" ref="E239">_xlfn.IFS(HOUR(D239)&gt;=20,"20-24 ",HOUR(D239)&gt;=16,"16-20",HOUR(D239)&gt;=12,"12-16",HOUR(D239)&lt;12,"7-12")</f>
        <v>12-16</v>
      </c>
      <c r="F239" s="6" t="s">
        <v>3</v>
      </c>
      <c r="G239" s="6" t="s">
        <v>113</v>
      </c>
      <c r="H239" s="6">
        <v>33.799999999999997</v>
      </c>
      <c r="I239" s="6" t="s">
        <v>14</v>
      </c>
    </row>
    <row r="240" spans="1:9" x14ac:dyDescent="0.35">
      <c r="A240" s="34">
        <v>45388</v>
      </c>
      <c r="B240" s="34" t="str">
        <f t="shared" si="7"/>
        <v>April</v>
      </c>
      <c r="C240" s="4" t="str">
        <f t="shared" si="6"/>
        <v>Saturday</v>
      </c>
      <c r="D240" s="5">
        <v>45388.592577928241</v>
      </c>
      <c r="E240" s="6" t="str" cm="1">
        <f t="array" ref="E240">_xlfn.IFS(HOUR(D240)&gt;=20,"20-24 ",HOUR(D240)&gt;=16,"16-20",HOUR(D240)&gt;=12,"12-16",HOUR(D240)&lt;12,"7-12")</f>
        <v>12-16</v>
      </c>
      <c r="F240" s="6" t="s">
        <v>3</v>
      </c>
      <c r="G240" s="6" t="s">
        <v>54</v>
      </c>
      <c r="H240" s="6">
        <v>38.700000000000003</v>
      </c>
      <c r="I240" s="6" t="s">
        <v>43</v>
      </c>
    </row>
    <row r="241" spans="1:9" x14ac:dyDescent="0.35">
      <c r="A241" s="34">
        <v>45388</v>
      </c>
      <c r="B241" s="34" t="str">
        <f t="shared" si="7"/>
        <v>April</v>
      </c>
      <c r="C241" s="4" t="str">
        <f t="shared" si="6"/>
        <v>Saturday</v>
      </c>
      <c r="D241" s="5">
        <v>45388.593368391201</v>
      </c>
      <c r="E241" s="6" t="str" cm="1">
        <f t="array" ref="E241">_xlfn.IFS(HOUR(D241)&gt;=20,"20-24 ",HOUR(D241)&gt;=16,"16-20",HOUR(D241)&gt;=12,"12-16",HOUR(D241)&lt;12,"7-12")</f>
        <v>12-16</v>
      </c>
      <c r="F241" s="6" t="s">
        <v>3</v>
      </c>
      <c r="G241" s="6" t="s">
        <v>54</v>
      </c>
      <c r="H241" s="6">
        <v>28.9</v>
      </c>
      <c r="I241" s="6" t="s">
        <v>11</v>
      </c>
    </row>
    <row r="242" spans="1:9" x14ac:dyDescent="0.35">
      <c r="A242" s="34">
        <v>45388</v>
      </c>
      <c r="B242" s="34" t="str">
        <f t="shared" si="7"/>
        <v>April</v>
      </c>
      <c r="C242" s="4" t="str">
        <f t="shared" si="6"/>
        <v>Saturday</v>
      </c>
      <c r="D242" s="5">
        <v>45388.617941932869</v>
      </c>
      <c r="E242" s="6" t="str" cm="1">
        <f t="array" ref="E242">_xlfn.IFS(HOUR(D242)&gt;=20,"20-24 ",HOUR(D242)&gt;=16,"16-20",HOUR(D242)&gt;=12,"12-16",HOUR(D242)&lt;12,"7-12")</f>
        <v>12-16</v>
      </c>
      <c r="F242" s="6" t="s">
        <v>3</v>
      </c>
      <c r="G242" s="6" t="s">
        <v>19</v>
      </c>
      <c r="H242" s="6">
        <v>38.700000000000003</v>
      </c>
      <c r="I242" s="6" t="s">
        <v>7</v>
      </c>
    </row>
    <row r="243" spans="1:9" x14ac:dyDescent="0.35">
      <c r="A243" s="34">
        <v>45389</v>
      </c>
      <c r="B243" s="34" t="str">
        <f t="shared" si="7"/>
        <v>April</v>
      </c>
      <c r="C243" s="4" t="str">
        <f t="shared" si="6"/>
        <v>Sunday</v>
      </c>
      <c r="D243" s="5">
        <v>45389.42561578704</v>
      </c>
      <c r="E243" s="6" t="str" cm="1">
        <f t="array" ref="E243">_xlfn.IFS(HOUR(D243)&gt;=20,"20-24 ",HOUR(D243)&gt;=16,"16-20",HOUR(D243)&gt;=12,"12-16",HOUR(D243)&lt;12,"7-12")</f>
        <v>7-12</v>
      </c>
      <c r="F243" s="6" t="s">
        <v>3</v>
      </c>
      <c r="G243" s="6" t="s">
        <v>105</v>
      </c>
      <c r="H243" s="6">
        <v>38.700000000000003</v>
      </c>
      <c r="I243" s="6" t="s">
        <v>7</v>
      </c>
    </row>
    <row r="244" spans="1:9" x14ac:dyDescent="0.35">
      <c r="A244" s="34">
        <v>45389</v>
      </c>
      <c r="B244" s="34" t="str">
        <f t="shared" si="7"/>
        <v>April</v>
      </c>
      <c r="C244" s="4" t="str">
        <f t="shared" si="6"/>
        <v>Sunday</v>
      </c>
      <c r="D244" s="5">
        <v>45389.530925185187</v>
      </c>
      <c r="E244" s="6" t="str" cm="1">
        <f t="array" ref="E244">_xlfn.IFS(HOUR(D244)&gt;=20,"20-24 ",HOUR(D244)&gt;=16,"16-20",HOUR(D244)&gt;=12,"12-16",HOUR(D244)&lt;12,"7-12")</f>
        <v>12-16</v>
      </c>
      <c r="F244" s="6" t="s">
        <v>3</v>
      </c>
      <c r="G244" s="6" t="s">
        <v>54</v>
      </c>
      <c r="H244" s="6">
        <v>38.700000000000003</v>
      </c>
      <c r="I244" s="6" t="s">
        <v>43</v>
      </c>
    </row>
    <row r="245" spans="1:9" x14ac:dyDescent="0.35">
      <c r="A245" s="34">
        <v>45389</v>
      </c>
      <c r="B245" s="34" t="str">
        <f t="shared" si="7"/>
        <v>April</v>
      </c>
      <c r="C245" s="4" t="str">
        <f t="shared" si="6"/>
        <v>Sunday</v>
      </c>
      <c r="D245" s="5">
        <v>45389.532003680557</v>
      </c>
      <c r="E245" s="6" t="str" cm="1">
        <f t="array" ref="E245">_xlfn.IFS(HOUR(D245)&gt;=20,"20-24 ",HOUR(D245)&gt;=16,"16-20",HOUR(D245)&gt;=12,"12-16",HOUR(D245)&lt;12,"7-12")</f>
        <v>12-16</v>
      </c>
      <c r="F245" s="6" t="s">
        <v>3</v>
      </c>
      <c r="G245" s="6" t="s">
        <v>54</v>
      </c>
      <c r="H245" s="6">
        <v>38.700000000000003</v>
      </c>
      <c r="I245" s="6" t="s">
        <v>43</v>
      </c>
    </row>
    <row r="246" spans="1:9" x14ac:dyDescent="0.35">
      <c r="A246" s="34">
        <v>45389</v>
      </c>
      <c r="B246" s="34" t="str">
        <f t="shared" si="7"/>
        <v>April</v>
      </c>
      <c r="C246" s="4" t="str">
        <f t="shared" si="6"/>
        <v>Sunday</v>
      </c>
      <c r="D246" s="5">
        <v>45389.594733206017</v>
      </c>
      <c r="E246" s="6" t="str" cm="1">
        <f t="array" ref="E246">_xlfn.IFS(HOUR(D246)&gt;=20,"20-24 ",HOUR(D246)&gt;=16,"16-20",HOUR(D246)&gt;=12,"12-16",HOUR(D246)&lt;12,"7-12")</f>
        <v>12-16</v>
      </c>
      <c r="F246" s="6" t="s">
        <v>3</v>
      </c>
      <c r="G246" s="6" t="s">
        <v>114</v>
      </c>
      <c r="H246" s="6">
        <v>28.9</v>
      </c>
      <c r="I246" s="6" t="s">
        <v>28</v>
      </c>
    </row>
    <row r="247" spans="1:9" x14ac:dyDescent="0.35">
      <c r="A247" s="34">
        <v>45389</v>
      </c>
      <c r="B247" s="34" t="str">
        <f t="shared" si="7"/>
        <v>April</v>
      </c>
      <c r="C247" s="4" t="str">
        <f t="shared" si="6"/>
        <v>Sunday</v>
      </c>
      <c r="D247" s="5">
        <v>45389.595493379631</v>
      </c>
      <c r="E247" s="6" t="str" cm="1">
        <f t="array" ref="E247">_xlfn.IFS(HOUR(D247)&gt;=20,"20-24 ",HOUR(D247)&gt;=16,"16-20",HOUR(D247)&gt;=12,"12-16",HOUR(D247)&lt;12,"7-12")</f>
        <v>12-16</v>
      </c>
      <c r="F247" s="6" t="s">
        <v>3</v>
      </c>
      <c r="G247" s="6" t="s">
        <v>114</v>
      </c>
      <c r="H247" s="6">
        <v>24</v>
      </c>
      <c r="I247" s="6" t="s">
        <v>35</v>
      </c>
    </row>
    <row r="248" spans="1:9" x14ac:dyDescent="0.35">
      <c r="A248" s="34">
        <v>45389</v>
      </c>
      <c r="B248" s="34" t="str">
        <f t="shared" si="7"/>
        <v>April</v>
      </c>
      <c r="C248" s="4" t="str">
        <f t="shared" si="6"/>
        <v>Sunday</v>
      </c>
      <c r="D248" s="5">
        <v>45389.750886666669</v>
      </c>
      <c r="E248" s="6" t="str" cm="1">
        <f t="array" ref="E248">_xlfn.IFS(HOUR(D248)&gt;=20,"20-24 ",HOUR(D248)&gt;=16,"16-20",HOUR(D248)&gt;=12,"12-16",HOUR(D248)&lt;12,"7-12")</f>
        <v>16-20</v>
      </c>
      <c r="F248" s="6" t="s">
        <v>3</v>
      </c>
      <c r="G248" s="6" t="s">
        <v>115</v>
      </c>
      <c r="H248" s="6">
        <v>38.700000000000003</v>
      </c>
      <c r="I248" s="6" t="s">
        <v>9</v>
      </c>
    </row>
    <row r="249" spans="1:9" x14ac:dyDescent="0.35">
      <c r="A249" s="34">
        <v>45389</v>
      </c>
      <c r="B249" s="34" t="str">
        <f t="shared" si="7"/>
        <v>April</v>
      </c>
      <c r="C249" s="4" t="str">
        <f t="shared" si="6"/>
        <v>Sunday</v>
      </c>
      <c r="D249" s="5">
        <v>45389.751433773148</v>
      </c>
      <c r="E249" s="6" t="str" cm="1">
        <f t="array" ref="E249">_xlfn.IFS(HOUR(D249)&gt;=20,"20-24 ",HOUR(D249)&gt;=16,"16-20",HOUR(D249)&gt;=12,"12-16",HOUR(D249)&lt;12,"7-12")</f>
        <v>16-20</v>
      </c>
      <c r="F249" s="6" t="s">
        <v>3</v>
      </c>
      <c r="G249" s="6" t="s">
        <v>115</v>
      </c>
      <c r="H249" s="6">
        <v>33.799999999999997</v>
      </c>
      <c r="I249" s="6" t="s">
        <v>14</v>
      </c>
    </row>
    <row r="250" spans="1:9" x14ac:dyDescent="0.35">
      <c r="A250" s="34">
        <v>45390</v>
      </c>
      <c r="B250" s="34" t="str">
        <f t="shared" si="7"/>
        <v>April</v>
      </c>
      <c r="C250" s="4" t="str">
        <f t="shared" si="6"/>
        <v>Monday</v>
      </c>
      <c r="D250" s="5">
        <v>45390.457188726854</v>
      </c>
      <c r="E250" s="6" t="str" cm="1">
        <f t="array" ref="E250">_xlfn.IFS(HOUR(D250)&gt;=20,"20-24 ",HOUR(D250)&gt;=16,"16-20",HOUR(D250)&gt;=12,"12-16",HOUR(D250)&lt;12,"7-12")</f>
        <v>7-12</v>
      </c>
      <c r="F250" s="6" t="s">
        <v>3</v>
      </c>
      <c r="G250" s="6" t="s">
        <v>116</v>
      </c>
      <c r="H250" s="6">
        <v>33.799999999999997</v>
      </c>
      <c r="I250" s="6" t="s">
        <v>14</v>
      </c>
    </row>
    <row r="251" spans="1:9" x14ac:dyDescent="0.35">
      <c r="A251" s="34">
        <v>45390</v>
      </c>
      <c r="B251" s="34" t="str">
        <f t="shared" si="7"/>
        <v>April</v>
      </c>
      <c r="C251" s="4" t="str">
        <f t="shared" si="6"/>
        <v>Monday</v>
      </c>
      <c r="D251" s="5">
        <v>45390.457957847226</v>
      </c>
      <c r="E251" s="6" t="str" cm="1">
        <f t="array" ref="E251">_xlfn.IFS(HOUR(D251)&gt;=20,"20-24 ",HOUR(D251)&gt;=16,"16-20",HOUR(D251)&gt;=12,"12-16",HOUR(D251)&lt;12,"7-12")</f>
        <v>7-12</v>
      </c>
      <c r="F251" s="6" t="s">
        <v>3</v>
      </c>
      <c r="G251" s="6" t="s">
        <v>117</v>
      </c>
      <c r="H251" s="6">
        <v>38.700000000000003</v>
      </c>
      <c r="I251" s="6" t="s">
        <v>43</v>
      </c>
    </row>
    <row r="252" spans="1:9" x14ac:dyDescent="0.35">
      <c r="A252" s="34">
        <v>45390</v>
      </c>
      <c r="B252" s="34" t="str">
        <f t="shared" si="7"/>
        <v>April</v>
      </c>
      <c r="C252" s="4" t="str">
        <f t="shared" si="6"/>
        <v>Monday</v>
      </c>
      <c r="D252" s="5">
        <v>45390.45926462963</v>
      </c>
      <c r="E252" s="6" t="str" cm="1">
        <f t="array" ref="E252">_xlfn.IFS(HOUR(D252)&gt;=20,"20-24 ",HOUR(D252)&gt;=16,"16-20",HOUR(D252)&gt;=12,"12-16",HOUR(D252)&lt;12,"7-12")</f>
        <v>7-12</v>
      </c>
      <c r="F252" s="6" t="s">
        <v>3</v>
      </c>
      <c r="G252" s="6" t="s">
        <v>23</v>
      </c>
      <c r="H252" s="6">
        <v>28.9</v>
      </c>
      <c r="I252" s="6" t="s">
        <v>11</v>
      </c>
    </row>
    <row r="253" spans="1:9" x14ac:dyDescent="0.35">
      <c r="A253" s="34">
        <v>45390</v>
      </c>
      <c r="B253" s="34" t="str">
        <f t="shared" si="7"/>
        <v>April</v>
      </c>
      <c r="C253" s="4" t="str">
        <f t="shared" si="6"/>
        <v>Monday</v>
      </c>
      <c r="D253" s="5">
        <v>45390.461655439816</v>
      </c>
      <c r="E253" s="6" t="str" cm="1">
        <f t="array" ref="E253">_xlfn.IFS(HOUR(D253)&gt;=20,"20-24 ",HOUR(D253)&gt;=16,"16-20",HOUR(D253)&gt;=12,"12-16",HOUR(D253)&lt;12,"7-12")</f>
        <v>7-12</v>
      </c>
      <c r="F253" s="6" t="s">
        <v>3</v>
      </c>
      <c r="G253" s="6" t="s">
        <v>118</v>
      </c>
      <c r="H253" s="6">
        <v>38.700000000000003</v>
      </c>
      <c r="I253" s="6" t="s">
        <v>43</v>
      </c>
    </row>
    <row r="254" spans="1:9" x14ac:dyDescent="0.35">
      <c r="A254" s="34">
        <v>45390</v>
      </c>
      <c r="B254" s="34" t="str">
        <f t="shared" si="7"/>
        <v>April</v>
      </c>
      <c r="C254" s="4" t="str">
        <f t="shared" si="6"/>
        <v>Monday</v>
      </c>
      <c r="D254" s="5">
        <v>45390.537799733793</v>
      </c>
      <c r="E254" s="6" t="str" cm="1">
        <f t="array" ref="E254">_xlfn.IFS(HOUR(D254)&gt;=20,"20-24 ",HOUR(D254)&gt;=16,"16-20",HOUR(D254)&gt;=12,"12-16",HOUR(D254)&lt;12,"7-12")</f>
        <v>12-16</v>
      </c>
      <c r="F254" s="6" t="s">
        <v>21</v>
      </c>
      <c r="G254" s="6" t="s">
        <v>463</v>
      </c>
      <c r="H254" s="6">
        <v>25</v>
      </c>
      <c r="I254" s="6" t="s">
        <v>35</v>
      </c>
    </row>
    <row r="255" spans="1:9" x14ac:dyDescent="0.35">
      <c r="A255" s="34">
        <v>45390</v>
      </c>
      <c r="B255" s="34" t="str">
        <f t="shared" si="7"/>
        <v>April</v>
      </c>
      <c r="C255" s="4" t="str">
        <f t="shared" si="6"/>
        <v>Monday</v>
      </c>
      <c r="D255" s="5">
        <v>45390.655287974536</v>
      </c>
      <c r="E255" s="6" t="str" cm="1">
        <f t="array" ref="E255">_xlfn.IFS(HOUR(D255)&gt;=20,"20-24 ",HOUR(D255)&gt;=16,"16-20",HOUR(D255)&gt;=12,"12-16",HOUR(D255)&lt;12,"7-12")</f>
        <v>12-16</v>
      </c>
      <c r="F255" s="6" t="s">
        <v>21</v>
      </c>
      <c r="G255" s="6" t="s">
        <v>463</v>
      </c>
      <c r="H255" s="6">
        <v>35</v>
      </c>
      <c r="I255" s="6" t="s">
        <v>14</v>
      </c>
    </row>
    <row r="256" spans="1:9" x14ac:dyDescent="0.35">
      <c r="A256" s="34">
        <v>45390</v>
      </c>
      <c r="B256" s="34" t="str">
        <f t="shared" si="7"/>
        <v>April</v>
      </c>
      <c r="C256" s="4" t="str">
        <f t="shared" si="6"/>
        <v>Monday</v>
      </c>
      <c r="D256" s="5">
        <v>45390.695576458333</v>
      </c>
      <c r="E256" s="6" t="str" cm="1">
        <f t="array" ref="E256">_xlfn.IFS(HOUR(D256)&gt;=20,"20-24 ",HOUR(D256)&gt;=16,"16-20",HOUR(D256)&gt;=12,"12-16",HOUR(D256)&lt;12,"7-12")</f>
        <v>16-20</v>
      </c>
      <c r="F256" s="6" t="s">
        <v>3</v>
      </c>
      <c r="G256" s="6" t="s">
        <v>29</v>
      </c>
      <c r="H256" s="6">
        <v>38.700000000000003</v>
      </c>
      <c r="I256" s="6" t="s">
        <v>7</v>
      </c>
    </row>
    <row r="257" spans="1:9" x14ac:dyDescent="0.35">
      <c r="A257" s="34">
        <v>45390</v>
      </c>
      <c r="B257" s="34" t="str">
        <f t="shared" si="7"/>
        <v>April</v>
      </c>
      <c r="C257" s="4" t="str">
        <f t="shared" si="6"/>
        <v>Monday</v>
      </c>
      <c r="D257" s="5">
        <v>45390.762612418985</v>
      </c>
      <c r="E257" s="6" t="str" cm="1">
        <f t="array" ref="E257">_xlfn.IFS(HOUR(D257)&gt;=20,"20-24 ",HOUR(D257)&gt;=16,"16-20",HOUR(D257)&gt;=12,"12-16",HOUR(D257)&lt;12,"7-12")</f>
        <v>16-20</v>
      </c>
      <c r="F257" s="6" t="s">
        <v>3</v>
      </c>
      <c r="G257" s="6" t="s">
        <v>119</v>
      </c>
      <c r="H257" s="6">
        <v>28.9</v>
      </c>
      <c r="I257" s="6" t="s">
        <v>11</v>
      </c>
    </row>
    <row r="258" spans="1:9" x14ac:dyDescent="0.35">
      <c r="A258" s="34">
        <v>45390</v>
      </c>
      <c r="B258" s="34" t="str">
        <f t="shared" si="7"/>
        <v>April</v>
      </c>
      <c r="C258" s="4" t="str">
        <f t="shared" ref="C258:C321" si="8">TEXT(A258,"ddddddddd")</f>
        <v>Monday</v>
      </c>
      <c r="D258" s="5">
        <v>45390.807262465278</v>
      </c>
      <c r="E258" s="6" t="str" cm="1">
        <f t="array" ref="E258">_xlfn.IFS(HOUR(D258)&gt;=20,"20-24 ",HOUR(D258)&gt;=16,"16-20",HOUR(D258)&gt;=12,"12-16",HOUR(D258)&lt;12,"7-12")</f>
        <v>16-20</v>
      </c>
      <c r="F258" s="6" t="s">
        <v>3</v>
      </c>
      <c r="G258" s="6" t="s">
        <v>37</v>
      </c>
      <c r="H258" s="6">
        <v>33.799999999999997</v>
      </c>
      <c r="I258" s="6" t="s">
        <v>14</v>
      </c>
    </row>
    <row r="259" spans="1:9" x14ac:dyDescent="0.35">
      <c r="A259" s="34">
        <v>45390</v>
      </c>
      <c r="B259" s="34" t="str">
        <f t="shared" ref="B259:B322" si="9">TEXT(A259, "mmmm")</f>
        <v>April</v>
      </c>
      <c r="C259" s="4" t="str">
        <f t="shared" si="8"/>
        <v>Monday</v>
      </c>
      <c r="D259" s="5">
        <v>45390.808324861115</v>
      </c>
      <c r="E259" s="6" t="str" cm="1">
        <f t="array" ref="E259">_xlfn.IFS(HOUR(D259)&gt;=20,"20-24 ",HOUR(D259)&gt;=16,"16-20",HOUR(D259)&gt;=12,"12-16",HOUR(D259)&lt;12,"7-12")</f>
        <v>16-20</v>
      </c>
      <c r="F259" s="6" t="s">
        <v>3</v>
      </c>
      <c r="G259" s="6" t="s">
        <v>120</v>
      </c>
      <c r="H259" s="6">
        <v>38.700000000000003</v>
      </c>
      <c r="I259" s="6" t="s">
        <v>43</v>
      </c>
    </row>
    <row r="260" spans="1:9" x14ac:dyDescent="0.35">
      <c r="A260" s="34">
        <v>45391</v>
      </c>
      <c r="B260" s="34" t="str">
        <f t="shared" si="9"/>
        <v>April</v>
      </c>
      <c r="C260" s="4" t="str">
        <f t="shared" si="8"/>
        <v>Tuesday</v>
      </c>
      <c r="D260" s="5">
        <v>45391.432261099537</v>
      </c>
      <c r="E260" s="6" t="str" cm="1">
        <f t="array" ref="E260">_xlfn.IFS(HOUR(D260)&gt;=20,"20-24 ",HOUR(D260)&gt;=16,"16-20",HOUR(D260)&gt;=12,"12-16",HOUR(D260)&lt;12,"7-12")</f>
        <v>7-12</v>
      </c>
      <c r="F260" s="6" t="s">
        <v>21</v>
      </c>
      <c r="G260" s="6" t="s">
        <v>463</v>
      </c>
      <c r="H260" s="6">
        <v>40</v>
      </c>
      <c r="I260" s="6" t="s">
        <v>43</v>
      </c>
    </row>
    <row r="261" spans="1:9" x14ac:dyDescent="0.35">
      <c r="A261" s="34">
        <v>45391</v>
      </c>
      <c r="B261" s="34" t="str">
        <f t="shared" si="9"/>
        <v>April</v>
      </c>
      <c r="C261" s="4" t="str">
        <f t="shared" si="8"/>
        <v>Tuesday</v>
      </c>
      <c r="D261" s="5">
        <v>45391.433450266202</v>
      </c>
      <c r="E261" s="6" t="str" cm="1">
        <f t="array" ref="E261">_xlfn.IFS(HOUR(D261)&gt;=20,"20-24 ",HOUR(D261)&gt;=16,"16-20",HOUR(D261)&gt;=12,"12-16",HOUR(D261)&lt;12,"7-12")</f>
        <v>7-12</v>
      </c>
      <c r="F261" s="6" t="s">
        <v>21</v>
      </c>
      <c r="G261" s="6" t="s">
        <v>463</v>
      </c>
      <c r="H261" s="6">
        <v>30</v>
      </c>
      <c r="I261" s="6" t="s">
        <v>11</v>
      </c>
    </row>
    <row r="262" spans="1:9" x14ac:dyDescent="0.35">
      <c r="A262" s="34">
        <v>45391</v>
      </c>
      <c r="B262" s="34" t="str">
        <f t="shared" si="9"/>
        <v>April</v>
      </c>
      <c r="C262" s="4" t="str">
        <f t="shared" si="8"/>
        <v>Tuesday</v>
      </c>
      <c r="D262" s="5">
        <v>45391.487829490739</v>
      </c>
      <c r="E262" s="6" t="str" cm="1">
        <f t="array" ref="E262">_xlfn.IFS(HOUR(D262)&gt;=20,"20-24 ",HOUR(D262)&gt;=16,"16-20",HOUR(D262)&gt;=12,"12-16",HOUR(D262)&lt;12,"7-12")</f>
        <v>7-12</v>
      </c>
      <c r="F262" s="6" t="s">
        <v>3</v>
      </c>
      <c r="G262" s="6" t="s">
        <v>105</v>
      </c>
      <c r="H262" s="6">
        <v>38.700000000000003</v>
      </c>
      <c r="I262" s="6" t="s">
        <v>7</v>
      </c>
    </row>
    <row r="263" spans="1:9" x14ac:dyDescent="0.35">
      <c r="A263" s="34">
        <v>45391</v>
      </c>
      <c r="B263" s="34" t="str">
        <f t="shared" si="9"/>
        <v>April</v>
      </c>
      <c r="C263" s="4" t="str">
        <f t="shared" si="8"/>
        <v>Tuesday</v>
      </c>
      <c r="D263" s="5">
        <v>45391.633202777775</v>
      </c>
      <c r="E263" s="6" t="str" cm="1">
        <f t="array" ref="E263">_xlfn.IFS(HOUR(D263)&gt;=20,"20-24 ",HOUR(D263)&gt;=16,"16-20",HOUR(D263)&gt;=12,"12-16",HOUR(D263)&lt;12,"7-12")</f>
        <v>12-16</v>
      </c>
      <c r="F263" s="6" t="s">
        <v>3</v>
      </c>
      <c r="G263" s="6" t="s">
        <v>121</v>
      </c>
      <c r="H263" s="6">
        <v>38.700000000000003</v>
      </c>
      <c r="I263" s="6" t="s">
        <v>9</v>
      </c>
    </row>
    <row r="264" spans="1:9" x14ac:dyDescent="0.35">
      <c r="A264" s="34">
        <v>45391</v>
      </c>
      <c r="B264" s="34" t="str">
        <f t="shared" si="9"/>
        <v>April</v>
      </c>
      <c r="C264" s="4" t="str">
        <f t="shared" si="8"/>
        <v>Tuesday</v>
      </c>
      <c r="D264" s="5">
        <v>45391.725971481479</v>
      </c>
      <c r="E264" s="6" t="str" cm="1">
        <f t="array" ref="E264">_xlfn.IFS(HOUR(D264)&gt;=20,"20-24 ",HOUR(D264)&gt;=16,"16-20",HOUR(D264)&gt;=12,"12-16",HOUR(D264)&lt;12,"7-12")</f>
        <v>16-20</v>
      </c>
      <c r="F264" s="6" t="s">
        <v>3</v>
      </c>
      <c r="G264" s="6" t="s">
        <v>63</v>
      </c>
      <c r="H264" s="6">
        <v>38.700000000000003</v>
      </c>
      <c r="I264" s="6" t="s">
        <v>9</v>
      </c>
    </row>
    <row r="265" spans="1:9" x14ac:dyDescent="0.35">
      <c r="A265" s="34">
        <v>45392</v>
      </c>
      <c r="B265" s="34" t="str">
        <f t="shared" si="9"/>
        <v>April</v>
      </c>
      <c r="C265" s="4" t="str">
        <f t="shared" si="8"/>
        <v>Wednesday</v>
      </c>
      <c r="D265" s="5">
        <v>45392.431552951391</v>
      </c>
      <c r="E265" s="6" t="str" cm="1">
        <f t="array" ref="E265">_xlfn.IFS(HOUR(D265)&gt;=20,"20-24 ",HOUR(D265)&gt;=16,"16-20",HOUR(D265)&gt;=12,"12-16",HOUR(D265)&lt;12,"7-12")</f>
        <v>7-12</v>
      </c>
      <c r="F265" s="6" t="s">
        <v>21</v>
      </c>
      <c r="G265" s="6" t="s">
        <v>463</v>
      </c>
      <c r="H265" s="6">
        <v>25</v>
      </c>
      <c r="I265" s="6" t="s">
        <v>35</v>
      </c>
    </row>
    <row r="266" spans="1:9" x14ac:dyDescent="0.35">
      <c r="A266" s="34">
        <v>45392</v>
      </c>
      <c r="B266" s="34" t="str">
        <f t="shared" si="9"/>
        <v>April</v>
      </c>
      <c r="C266" s="4" t="str">
        <f t="shared" si="8"/>
        <v>Wednesday</v>
      </c>
      <c r="D266" s="5">
        <v>45392.746609004629</v>
      </c>
      <c r="E266" s="6" t="str" cm="1">
        <f t="array" ref="E266">_xlfn.IFS(HOUR(D266)&gt;=20,"20-24 ",HOUR(D266)&gt;=16,"16-20",HOUR(D266)&gt;=12,"12-16",HOUR(D266)&lt;12,"7-12")</f>
        <v>16-20</v>
      </c>
      <c r="F266" s="6" t="s">
        <v>21</v>
      </c>
      <c r="G266" s="6" t="s">
        <v>463</v>
      </c>
      <c r="H266" s="6">
        <v>40</v>
      </c>
      <c r="I266" s="6" t="s">
        <v>9</v>
      </c>
    </row>
    <row r="267" spans="1:9" x14ac:dyDescent="0.35">
      <c r="A267" s="34">
        <v>45392</v>
      </c>
      <c r="B267" s="34" t="str">
        <f t="shared" si="9"/>
        <v>April</v>
      </c>
      <c r="C267" s="4" t="str">
        <f t="shared" si="8"/>
        <v>Wednesday</v>
      </c>
      <c r="D267" s="5">
        <v>45392.74688939815</v>
      </c>
      <c r="E267" s="6" t="str" cm="1">
        <f t="array" ref="E267">_xlfn.IFS(HOUR(D267)&gt;=20,"20-24 ",HOUR(D267)&gt;=16,"16-20",HOUR(D267)&gt;=12,"12-16",HOUR(D267)&lt;12,"7-12")</f>
        <v>16-20</v>
      </c>
      <c r="F267" s="6" t="s">
        <v>3</v>
      </c>
      <c r="G267" s="6" t="s">
        <v>122</v>
      </c>
      <c r="H267" s="6">
        <v>24</v>
      </c>
      <c r="I267" s="6" t="s">
        <v>35</v>
      </c>
    </row>
    <row r="268" spans="1:9" x14ac:dyDescent="0.35">
      <c r="A268" s="34">
        <v>45392</v>
      </c>
      <c r="B268" s="34" t="str">
        <f t="shared" si="9"/>
        <v>April</v>
      </c>
      <c r="C268" s="4" t="str">
        <f t="shared" si="8"/>
        <v>Wednesday</v>
      </c>
      <c r="D268" s="5">
        <v>45392.767352893519</v>
      </c>
      <c r="E268" s="6" t="str" cm="1">
        <f t="array" ref="E268">_xlfn.IFS(HOUR(D268)&gt;=20,"20-24 ",HOUR(D268)&gt;=16,"16-20",HOUR(D268)&gt;=12,"12-16",HOUR(D268)&lt;12,"7-12")</f>
        <v>16-20</v>
      </c>
      <c r="F268" s="6" t="s">
        <v>3</v>
      </c>
      <c r="G268" s="6" t="s">
        <v>19</v>
      </c>
      <c r="H268" s="6">
        <v>38.700000000000003</v>
      </c>
      <c r="I268" s="6" t="s">
        <v>43</v>
      </c>
    </row>
    <row r="269" spans="1:9" x14ac:dyDescent="0.35">
      <c r="A269" s="34">
        <v>45392</v>
      </c>
      <c r="B269" s="34" t="str">
        <f t="shared" si="9"/>
        <v>April</v>
      </c>
      <c r="C269" s="4" t="str">
        <f t="shared" si="8"/>
        <v>Wednesday</v>
      </c>
      <c r="D269" s="5">
        <v>45392.836173449075</v>
      </c>
      <c r="E269" s="6" t="str" cm="1">
        <f t="array" ref="E269">_xlfn.IFS(HOUR(D269)&gt;=20,"20-24 ",HOUR(D269)&gt;=16,"16-20",HOUR(D269)&gt;=12,"12-16",HOUR(D269)&lt;12,"7-12")</f>
        <v xml:space="preserve">20-24 </v>
      </c>
      <c r="F269" s="6" t="s">
        <v>3</v>
      </c>
      <c r="G269" s="6" t="s">
        <v>123</v>
      </c>
      <c r="H269" s="6">
        <v>38.700000000000003</v>
      </c>
      <c r="I269" s="6" t="s">
        <v>7</v>
      </c>
    </row>
    <row r="270" spans="1:9" x14ac:dyDescent="0.35">
      <c r="A270" s="34">
        <v>45393</v>
      </c>
      <c r="B270" s="34" t="str">
        <f t="shared" si="9"/>
        <v>April</v>
      </c>
      <c r="C270" s="4" t="str">
        <f t="shared" si="8"/>
        <v>Thursday</v>
      </c>
      <c r="D270" s="5">
        <v>45393.445406886574</v>
      </c>
      <c r="E270" s="6" t="str" cm="1">
        <f t="array" ref="E270">_xlfn.IFS(HOUR(D270)&gt;=20,"20-24 ",HOUR(D270)&gt;=16,"16-20",HOUR(D270)&gt;=12,"12-16",HOUR(D270)&lt;12,"7-12")</f>
        <v>7-12</v>
      </c>
      <c r="F270" s="6" t="s">
        <v>3</v>
      </c>
      <c r="G270" s="6" t="s">
        <v>124</v>
      </c>
      <c r="H270" s="6">
        <v>28.9</v>
      </c>
      <c r="I270" s="6" t="s">
        <v>11</v>
      </c>
    </row>
    <row r="271" spans="1:9" x14ac:dyDescent="0.35">
      <c r="A271" s="34">
        <v>45393</v>
      </c>
      <c r="B271" s="34" t="str">
        <f t="shared" si="9"/>
        <v>April</v>
      </c>
      <c r="C271" s="4" t="str">
        <f t="shared" si="8"/>
        <v>Thursday</v>
      </c>
      <c r="D271" s="5">
        <v>45393.446520428239</v>
      </c>
      <c r="E271" s="6" t="str" cm="1">
        <f t="array" ref="E271">_xlfn.IFS(HOUR(D271)&gt;=20,"20-24 ",HOUR(D271)&gt;=16,"16-20",HOUR(D271)&gt;=12,"12-16",HOUR(D271)&lt;12,"7-12")</f>
        <v>7-12</v>
      </c>
      <c r="F271" s="6" t="s">
        <v>3</v>
      </c>
      <c r="G271" s="6" t="s">
        <v>124</v>
      </c>
      <c r="H271" s="6">
        <v>28.9</v>
      </c>
      <c r="I271" s="6" t="s">
        <v>11</v>
      </c>
    </row>
    <row r="272" spans="1:9" x14ac:dyDescent="0.35">
      <c r="A272" s="34">
        <v>45393</v>
      </c>
      <c r="B272" s="34" t="str">
        <f t="shared" si="9"/>
        <v>April</v>
      </c>
      <c r="C272" s="4" t="str">
        <f t="shared" si="8"/>
        <v>Thursday</v>
      </c>
      <c r="D272" s="5">
        <v>45393.691239224536</v>
      </c>
      <c r="E272" s="6" t="str" cm="1">
        <f t="array" ref="E272">_xlfn.IFS(HOUR(D272)&gt;=20,"20-24 ",HOUR(D272)&gt;=16,"16-20",HOUR(D272)&gt;=12,"12-16",HOUR(D272)&lt;12,"7-12")</f>
        <v>16-20</v>
      </c>
      <c r="F272" s="6" t="s">
        <v>3</v>
      </c>
      <c r="G272" s="6" t="s">
        <v>29</v>
      </c>
      <c r="H272" s="6">
        <v>38.700000000000003</v>
      </c>
      <c r="I272" s="6" t="s">
        <v>7</v>
      </c>
    </row>
    <row r="273" spans="1:9" x14ac:dyDescent="0.35">
      <c r="A273" s="34">
        <v>45393</v>
      </c>
      <c r="B273" s="34" t="str">
        <f t="shared" si="9"/>
        <v>April</v>
      </c>
      <c r="C273" s="4" t="str">
        <f t="shared" si="8"/>
        <v>Thursday</v>
      </c>
      <c r="D273" s="5">
        <v>45393.803432731482</v>
      </c>
      <c r="E273" s="6" t="str" cm="1">
        <f t="array" ref="E273">_xlfn.IFS(HOUR(D273)&gt;=20,"20-24 ",HOUR(D273)&gt;=16,"16-20",HOUR(D273)&gt;=12,"12-16",HOUR(D273)&lt;12,"7-12")</f>
        <v>16-20</v>
      </c>
      <c r="F273" s="6" t="s">
        <v>3</v>
      </c>
      <c r="G273" s="6" t="s">
        <v>120</v>
      </c>
      <c r="H273" s="6">
        <v>38.700000000000003</v>
      </c>
      <c r="I273" s="6" t="s">
        <v>43</v>
      </c>
    </row>
    <row r="274" spans="1:9" x14ac:dyDescent="0.35">
      <c r="A274" s="34">
        <v>45393</v>
      </c>
      <c r="B274" s="34" t="str">
        <f t="shared" si="9"/>
        <v>April</v>
      </c>
      <c r="C274" s="4" t="str">
        <f t="shared" si="8"/>
        <v>Thursday</v>
      </c>
      <c r="D274" s="5">
        <v>45393.804590497683</v>
      </c>
      <c r="E274" s="6" t="str" cm="1">
        <f t="array" ref="E274">_xlfn.IFS(HOUR(D274)&gt;=20,"20-24 ",HOUR(D274)&gt;=16,"16-20",HOUR(D274)&gt;=12,"12-16",HOUR(D274)&lt;12,"7-12")</f>
        <v>16-20</v>
      </c>
      <c r="F274" s="6" t="s">
        <v>3</v>
      </c>
      <c r="G274" s="6" t="s">
        <v>37</v>
      </c>
      <c r="H274" s="6">
        <v>33.799999999999997</v>
      </c>
      <c r="I274" s="6" t="s">
        <v>14</v>
      </c>
    </row>
    <row r="275" spans="1:9" x14ac:dyDescent="0.35">
      <c r="A275" s="34">
        <v>45394</v>
      </c>
      <c r="B275" s="34" t="str">
        <f t="shared" si="9"/>
        <v>April</v>
      </c>
      <c r="C275" s="4" t="str">
        <f t="shared" si="8"/>
        <v>Friday</v>
      </c>
      <c r="D275" s="5">
        <v>45394.794252349537</v>
      </c>
      <c r="E275" s="6" t="str" cm="1">
        <f t="array" ref="E275">_xlfn.IFS(HOUR(D275)&gt;=20,"20-24 ",HOUR(D275)&gt;=16,"16-20",HOUR(D275)&gt;=12,"12-16",HOUR(D275)&lt;12,"7-12")</f>
        <v>16-20</v>
      </c>
      <c r="F275" s="6" t="s">
        <v>3</v>
      </c>
      <c r="G275" s="6" t="s">
        <v>31</v>
      </c>
      <c r="H275" s="6">
        <v>38.700000000000003</v>
      </c>
      <c r="I275" s="6" t="s">
        <v>9</v>
      </c>
    </row>
    <row r="276" spans="1:9" x14ac:dyDescent="0.35">
      <c r="A276" s="34">
        <v>45394</v>
      </c>
      <c r="B276" s="34" t="str">
        <f t="shared" si="9"/>
        <v>April</v>
      </c>
      <c r="C276" s="4" t="str">
        <f t="shared" si="8"/>
        <v>Friday</v>
      </c>
      <c r="D276" s="5">
        <v>45394.818323946762</v>
      </c>
      <c r="E276" s="6" t="str" cm="1">
        <f t="array" ref="E276">_xlfn.IFS(HOUR(D276)&gt;=20,"20-24 ",HOUR(D276)&gt;=16,"16-20",HOUR(D276)&gt;=12,"12-16",HOUR(D276)&lt;12,"7-12")</f>
        <v>16-20</v>
      </c>
      <c r="F276" s="6" t="s">
        <v>3</v>
      </c>
      <c r="G276" s="6" t="s">
        <v>19</v>
      </c>
      <c r="H276" s="6">
        <v>28.9</v>
      </c>
      <c r="I276" s="6" t="s">
        <v>28</v>
      </c>
    </row>
    <row r="277" spans="1:9" x14ac:dyDescent="0.35">
      <c r="A277" s="34">
        <v>45395</v>
      </c>
      <c r="B277" s="34" t="str">
        <f t="shared" si="9"/>
        <v>April</v>
      </c>
      <c r="C277" s="4" t="str">
        <f t="shared" si="8"/>
        <v>Saturday</v>
      </c>
      <c r="D277" s="5">
        <v>45395.520368321762</v>
      </c>
      <c r="E277" s="6" t="str" cm="1">
        <f t="array" ref="E277">_xlfn.IFS(HOUR(D277)&gt;=20,"20-24 ",HOUR(D277)&gt;=16,"16-20",HOUR(D277)&gt;=12,"12-16",HOUR(D277)&lt;12,"7-12")</f>
        <v>12-16</v>
      </c>
      <c r="F277" s="6" t="s">
        <v>3</v>
      </c>
      <c r="G277" s="6" t="s">
        <v>19</v>
      </c>
      <c r="H277" s="6">
        <v>38.700000000000003</v>
      </c>
      <c r="I277" s="6" t="s">
        <v>7</v>
      </c>
    </row>
    <row r="278" spans="1:9" x14ac:dyDescent="0.35">
      <c r="A278" s="34">
        <v>45395</v>
      </c>
      <c r="B278" s="34" t="str">
        <f t="shared" si="9"/>
        <v>April</v>
      </c>
      <c r="C278" s="4" t="str">
        <f t="shared" si="8"/>
        <v>Saturday</v>
      </c>
      <c r="D278" s="5">
        <v>45395.529888761572</v>
      </c>
      <c r="E278" s="6" t="str" cm="1">
        <f t="array" ref="E278">_xlfn.IFS(HOUR(D278)&gt;=20,"20-24 ",HOUR(D278)&gt;=16,"16-20",HOUR(D278)&gt;=12,"12-16",HOUR(D278)&lt;12,"7-12")</f>
        <v>12-16</v>
      </c>
      <c r="F278" s="6" t="s">
        <v>3</v>
      </c>
      <c r="G278" s="6" t="s">
        <v>23</v>
      </c>
      <c r="H278" s="6">
        <v>28.9</v>
      </c>
      <c r="I278" s="6" t="s">
        <v>11</v>
      </c>
    </row>
    <row r="279" spans="1:9" x14ac:dyDescent="0.35">
      <c r="A279" s="34">
        <v>45395</v>
      </c>
      <c r="B279" s="34" t="str">
        <f t="shared" si="9"/>
        <v>April</v>
      </c>
      <c r="C279" s="4" t="str">
        <f t="shared" si="8"/>
        <v>Saturday</v>
      </c>
      <c r="D279" s="5">
        <v>45395.629771898151</v>
      </c>
      <c r="E279" s="6" t="str" cm="1">
        <f t="array" ref="E279">_xlfn.IFS(HOUR(D279)&gt;=20,"20-24 ",HOUR(D279)&gt;=16,"16-20",HOUR(D279)&gt;=12,"12-16",HOUR(D279)&lt;12,"7-12")</f>
        <v>12-16</v>
      </c>
      <c r="F279" s="6" t="s">
        <v>21</v>
      </c>
      <c r="G279" s="6" t="s">
        <v>463</v>
      </c>
      <c r="H279" s="6">
        <v>40</v>
      </c>
      <c r="I279" s="6" t="s">
        <v>9</v>
      </c>
    </row>
    <row r="280" spans="1:9" x14ac:dyDescent="0.35">
      <c r="A280" s="34">
        <v>45395</v>
      </c>
      <c r="B280" s="34" t="str">
        <f t="shared" si="9"/>
        <v>April</v>
      </c>
      <c r="C280" s="4" t="str">
        <f t="shared" si="8"/>
        <v>Saturday</v>
      </c>
      <c r="D280" s="5">
        <v>45395.630508865739</v>
      </c>
      <c r="E280" s="6" t="str" cm="1">
        <f t="array" ref="E280">_xlfn.IFS(HOUR(D280)&gt;=20,"20-24 ",HOUR(D280)&gt;=16,"16-20",HOUR(D280)&gt;=12,"12-16",HOUR(D280)&lt;12,"7-12")</f>
        <v>12-16</v>
      </c>
      <c r="F280" s="6" t="s">
        <v>21</v>
      </c>
      <c r="G280" s="6" t="s">
        <v>463</v>
      </c>
      <c r="H280" s="6">
        <v>40</v>
      </c>
      <c r="I280" s="6" t="s">
        <v>9</v>
      </c>
    </row>
    <row r="281" spans="1:9" x14ac:dyDescent="0.35">
      <c r="A281" s="34">
        <v>45395</v>
      </c>
      <c r="B281" s="34" t="str">
        <f t="shared" si="9"/>
        <v>April</v>
      </c>
      <c r="C281" s="4" t="str">
        <f t="shared" si="8"/>
        <v>Saturday</v>
      </c>
      <c r="D281" s="5">
        <v>45395.67921224537</v>
      </c>
      <c r="E281" s="6" t="str" cm="1">
        <f t="array" ref="E281">_xlfn.IFS(HOUR(D281)&gt;=20,"20-24 ",HOUR(D281)&gt;=16,"16-20",HOUR(D281)&gt;=12,"12-16",HOUR(D281)&lt;12,"7-12")</f>
        <v>16-20</v>
      </c>
      <c r="F281" s="6" t="s">
        <v>3</v>
      </c>
      <c r="G281" s="6" t="s">
        <v>125</v>
      </c>
      <c r="H281" s="6">
        <v>38.700000000000003</v>
      </c>
      <c r="I281" s="6" t="s">
        <v>43</v>
      </c>
    </row>
    <row r="282" spans="1:9" x14ac:dyDescent="0.35">
      <c r="A282" s="34">
        <v>45395</v>
      </c>
      <c r="B282" s="34" t="str">
        <f t="shared" si="9"/>
        <v>April</v>
      </c>
      <c r="C282" s="4" t="str">
        <f t="shared" si="8"/>
        <v>Saturday</v>
      </c>
      <c r="D282" s="5">
        <v>45395.680321747685</v>
      </c>
      <c r="E282" s="6" t="str" cm="1">
        <f t="array" ref="E282">_xlfn.IFS(HOUR(D282)&gt;=20,"20-24 ",HOUR(D282)&gt;=16,"16-20",HOUR(D282)&gt;=12,"12-16",HOUR(D282)&lt;12,"7-12")</f>
        <v>16-20</v>
      </c>
      <c r="F282" s="6" t="s">
        <v>3</v>
      </c>
      <c r="G282" s="6" t="s">
        <v>125</v>
      </c>
      <c r="H282" s="6">
        <v>38.700000000000003</v>
      </c>
      <c r="I282" s="6" t="s">
        <v>7</v>
      </c>
    </row>
    <row r="283" spans="1:9" x14ac:dyDescent="0.35">
      <c r="A283" s="34">
        <v>45395</v>
      </c>
      <c r="B283" s="34" t="str">
        <f t="shared" si="9"/>
        <v>April</v>
      </c>
      <c r="C283" s="4" t="str">
        <f t="shared" si="8"/>
        <v>Saturday</v>
      </c>
      <c r="D283" s="5">
        <v>45395.744051226851</v>
      </c>
      <c r="E283" s="6" t="str" cm="1">
        <f t="array" ref="E283">_xlfn.IFS(HOUR(D283)&gt;=20,"20-24 ",HOUR(D283)&gt;=16,"16-20",HOUR(D283)&gt;=12,"12-16",HOUR(D283)&lt;12,"7-12")</f>
        <v>16-20</v>
      </c>
      <c r="F283" s="6" t="s">
        <v>3</v>
      </c>
      <c r="G283" s="6" t="s">
        <v>126</v>
      </c>
      <c r="H283" s="6">
        <v>38.700000000000003</v>
      </c>
      <c r="I283" s="6" t="s">
        <v>43</v>
      </c>
    </row>
    <row r="284" spans="1:9" x14ac:dyDescent="0.35">
      <c r="A284" s="34">
        <v>45395</v>
      </c>
      <c r="B284" s="34" t="str">
        <f t="shared" si="9"/>
        <v>April</v>
      </c>
      <c r="C284" s="4" t="str">
        <f t="shared" si="8"/>
        <v>Saturday</v>
      </c>
      <c r="D284" s="5">
        <v>45395.745361539353</v>
      </c>
      <c r="E284" s="6" t="str" cm="1">
        <f t="array" ref="E284">_xlfn.IFS(HOUR(D284)&gt;=20,"20-24 ",HOUR(D284)&gt;=16,"16-20",HOUR(D284)&gt;=12,"12-16",HOUR(D284)&lt;12,"7-12")</f>
        <v>16-20</v>
      </c>
      <c r="F284" s="6" t="s">
        <v>3</v>
      </c>
      <c r="G284" s="6" t="s">
        <v>23</v>
      </c>
      <c r="H284" s="6">
        <v>38.700000000000003</v>
      </c>
      <c r="I284" s="6" t="s">
        <v>43</v>
      </c>
    </row>
    <row r="285" spans="1:9" x14ac:dyDescent="0.35">
      <c r="A285" s="34">
        <v>45396</v>
      </c>
      <c r="B285" s="34" t="str">
        <f t="shared" si="9"/>
        <v>April</v>
      </c>
      <c r="C285" s="4" t="str">
        <f t="shared" si="8"/>
        <v>Sunday</v>
      </c>
      <c r="D285" s="5">
        <v>45396.455178310185</v>
      </c>
      <c r="E285" s="6" t="str" cm="1">
        <f t="array" ref="E285">_xlfn.IFS(HOUR(D285)&gt;=20,"20-24 ",HOUR(D285)&gt;=16,"16-20",HOUR(D285)&gt;=12,"12-16",HOUR(D285)&lt;12,"7-12")</f>
        <v>7-12</v>
      </c>
      <c r="F285" s="6" t="s">
        <v>21</v>
      </c>
      <c r="G285" s="6" t="s">
        <v>463</v>
      </c>
      <c r="H285" s="6">
        <v>40</v>
      </c>
      <c r="I285" s="6" t="s">
        <v>7</v>
      </c>
    </row>
    <row r="286" spans="1:9" x14ac:dyDescent="0.35">
      <c r="A286" s="34">
        <v>45396</v>
      </c>
      <c r="B286" s="34" t="str">
        <f t="shared" si="9"/>
        <v>April</v>
      </c>
      <c r="C286" s="4" t="str">
        <f t="shared" si="8"/>
        <v>Sunday</v>
      </c>
      <c r="D286" s="5">
        <v>45396.517118379626</v>
      </c>
      <c r="E286" s="6" t="str" cm="1">
        <f t="array" ref="E286">_xlfn.IFS(HOUR(D286)&gt;=20,"20-24 ",HOUR(D286)&gt;=16,"16-20",HOUR(D286)&gt;=12,"12-16",HOUR(D286)&lt;12,"7-12")</f>
        <v>12-16</v>
      </c>
      <c r="F286" s="6" t="s">
        <v>3</v>
      </c>
      <c r="G286" s="6" t="s">
        <v>127</v>
      </c>
      <c r="H286" s="6">
        <v>38.700000000000003</v>
      </c>
      <c r="I286" s="6" t="s">
        <v>43</v>
      </c>
    </row>
    <row r="287" spans="1:9" x14ac:dyDescent="0.35">
      <c r="A287" s="34">
        <v>45396</v>
      </c>
      <c r="B287" s="34" t="str">
        <f t="shared" si="9"/>
        <v>April</v>
      </c>
      <c r="C287" s="4" t="str">
        <f t="shared" si="8"/>
        <v>Sunday</v>
      </c>
      <c r="D287" s="5">
        <v>45396.51885359954</v>
      </c>
      <c r="E287" s="6" t="str" cm="1">
        <f t="array" ref="E287">_xlfn.IFS(HOUR(D287)&gt;=20,"20-24 ",HOUR(D287)&gt;=16,"16-20",HOUR(D287)&gt;=12,"12-16",HOUR(D287)&lt;12,"7-12")</f>
        <v>12-16</v>
      </c>
      <c r="F287" s="6" t="s">
        <v>21</v>
      </c>
      <c r="G287" s="6" t="s">
        <v>463</v>
      </c>
      <c r="H287" s="6">
        <v>30</v>
      </c>
      <c r="I287" s="6" t="s">
        <v>28</v>
      </c>
    </row>
    <row r="288" spans="1:9" x14ac:dyDescent="0.35">
      <c r="A288" s="34">
        <v>45396</v>
      </c>
      <c r="B288" s="34" t="str">
        <f t="shared" si="9"/>
        <v>April</v>
      </c>
      <c r="C288" s="4" t="str">
        <f t="shared" si="8"/>
        <v>Sunday</v>
      </c>
      <c r="D288" s="5">
        <v>45396.520218483798</v>
      </c>
      <c r="E288" s="6" t="str" cm="1">
        <f t="array" ref="E288">_xlfn.IFS(HOUR(D288)&gt;=20,"20-24 ",HOUR(D288)&gt;=16,"16-20",HOUR(D288)&gt;=12,"12-16",HOUR(D288)&lt;12,"7-12")</f>
        <v>12-16</v>
      </c>
      <c r="F288" s="6" t="s">
        <v>21</v>
      </c>
      <c r="G288" s="6" t="s">
        <v>463</v>
      </c>
      <c r="H288" s="6">
        <v>30</v>
      </c>
      <c r="I288" s="6" t="s">
        <v>28</v>
      </c>
    </row>
    <row r="289" spans="1:9" x14ac:dyDescent="0.35">
      <c r="A289" s="34">
        <v>45396</v>
      </c>
      <c r="B289" s="34" t="str">
        <f t="shared" si="9"/>
        <v>April</v>
      </c>
      <c r="C289" s="4" t="str">
        <f t="shared" si="8"/>
        <v>Sunday</v>
      </c>
      <c r="D289" s="5">
        <v>45396.52194486111</v>
      </c>
      <c r="E289" s="6" t="str" cm="1">
        <f t="array" ref="E289">_xlfn.IFS(HOUR(D289)&gt;=20,"20-24 ",HOUR(D289)&gt;=16,"16-20",HOUR(D289)&gt;=12,"12-16",HOUR(D289)&lt;12,"7-12")</f>
        <v>12-16</v>
      </c>
      <c r="F289" s="6" t="s">
        <v>21</v>
      </c>
      <c r="G289" s="6" t="s">
        <v>463</v>
      </c>
      <c r="H289" s="6">
        <v>35</v>
      </c>
      <c r="I289" s="6" t="s">
        <v>14</v>
      </c>
    </row>
    <row r="290" spans="1:9" x14ac:dyDescent="0.35">
      <c r="A290" s="34">
        <v>45396</v>
      </c>
      <c r="B290" s="34" t="str">
        <f t="shared" si="9"/>
        <v>April</v>
      </c>
      <c r="C290" s="4" t="str">
        <f t="shared" si="8"/>
        <v>Sunday</v>
      </c>
      <c r="D290" s="5">
        <v>45396.556826481479</v>
      </c>
      <c r="E290" s="6" t="str" cm="1">
        <f t="array" ref="E290">_xlfn.IFS(HOUR(D290)&gt;=20,"20-24 ",HOUR(D290)&gt;=16,"16-20",HOUR(D290)&gt;=12,"12-16",HOUR(D290)&lt;12,"7-12")</f>
        <v>12-16</v>
      </c>
      <c r="F290" s="6" t="s">
        <v>3</v>
      </c>
      <c r="G290" s="6" t="s">
        <v>128</v>
      </c>
      <c r="H290" s="6">
        <v>28.9</v>
      </c>
      <c r="I290" s="6" t="s">
        <v>28</v>
      </c>
    </row>
    <row r="291" spans="1:9" x14ac:dyDescent="0.35">
      <c r="A291" s="34">
        <v>45396</v>
      </c>
      <c r="B291" s="34" t="str">
        <f t="shared" si="9"/>
        <v>April</v>
      </c>
      <c r="C291" s="4" t="str">
        <f t="shared" si="8"/>
        <v>Sunday</v>
      </c>
      <c r="D291" s="5">
        <v>45396.599671655094</v>
      </c>
      <c r="E291" s="6" t="str" cm="1">
        <f t="array" ref="E291">_xlfn.IFS(HOUR(D291)&gt;=20,"20-24 ",HOUR(D291)&gt;=16,"16-20",HOUR(D291)&gt;=12,"12-16",HOUR(D291)&lt;12,"7-12")</f>
        <v>12-16</v>
      </c>
      <c r="F291" s="6" t="s">
        <v>3</v>
      </c>
      <c r="G291" s="6" t="s">
        <v>23</v>
      </c>
      <c r="H291" s="6">
        <v>28.9</v>
      </c>
      <c r="I291" s="6" t="s">
        <v>11</v>
      </c>
    </row>
    <row r="292" spans="1:9" x14ac:dyDescent="0.35">
      <c r="A292" s="34">
        <v>45396</v>
      </c>
      <c r="B292" s="34" t="str">
        <f t="shared" si="9"/>
        <v>April</v>
      </c>
      <c r="C292" s="4" t="str">
        <f t="shared" si="8"/>
        <v>Sunday</v>
      </c>
      <c r="D292" s="5">
        <v>45396.600311689814</v>
      </c>
      <c r="E292" s="6" t="str" cm="1">
        <f t="array" ref="E292">_xlfn.IFS(HOUR(D292)&gt;=20,"20-24 ",HOUR(D292)&gt;=16,"16-20",HOUR(D292)&gt;=12,"12-16",HOUR(D292)&lt;12,"7-12")</f>
        <v>12-16</v>
      </c>
      <c r="F292" s="6" t="s">
        <v>3</v>
      </c>
      <c r="G292" s="6" t="s">
        <v>23</v>
      </c>
      <c r="H292" s="6">
        <v>28.9</v>
      </c>
      <c r="I292" s="6" t="s">
        <v>11</v>
      </c>
    </row>
    <row r="293" spans="1:9" x14ac:dyDescent="0.35">
      <c r="A293" s="34">
        <v>45396</v>
      </c>
      <c r="B293" s="34" t="str">
        <f t="shared" si="9"/>
        <v>April</v>
      </c>
      <c r="C293" s="4" t="str">
        <f t="shared" si="8"/>
        <v>Sunday</v>
      </c>
      <c r="D293" s="5">
        <v>45396.600904189814</v>
      </c>
      <c r="E293" s="6" t="str" cm="1">
        <f t="array" ref="E293">_xlfn.IFS(HOUR(D293)&gt;=20,"20-24 ",HOUR(D293)&gt;=16,"16-20",HOUR(D293)&gt;=12,"12-16",HOUR(D293)&lt;12,"7-12")</f>
        <v>12-16</v>
      </c>
      <c r="F293" s="6" t="s">
        <v>3</v>
      </c>
      <c r="G293" s="6" t="s">
        <v>23</v>
      </c>
      <c r="H293" s="6">
        <v>28.9</v>
      </c>
      <c r="I293" s="6" t="s">
        <v>11</v>
      </c>
    </row>
    <row r="294" spans="1:9" x14ac:dyDescent="0.35">
      <c r="A294" s="34">
        <v>45396</v>
      </c>
      <c r="B294" s="34" t="str">
        <f t="shared" si="9"/>
        <v>April</v>
      </c>
      <c r="C294" s="4" t="str">
        <f t="shared" si="8"/>
        <v>Sunday</v>
      </c>
      <c r="D294" s="5">
        <v>45396.657265428243</v>
      </c>
      <c r="E294" s="6" t="str" cm="1">
        <f t="array" ref="E294">_xlfn.IFS(HOUR(D294)&gt;=20,"20-24 ",HOUR(D294)&gt;=16,"16-20",HOUR(D294)&gt;=12,"12-16",HOUR(D294)&lt;12,"7-12")</f>
        <v>12-16</v>
      </c>
      <c r="F294" s="6" t="s">
        <v>3</v>
      </c>
      <c r="G294" s="6" t="s">
        <v>29</v>
      </c>
      <c r="H294" s="6">
        <v>38.700000000000003</v>
      </c>
      <c r="I294" s="6" t="s">
        <v>43</v>
      </c>
    </row>
    <row r="295" spans="1:9" x14ac:dyDescent="0.35">
      <c r="A295" s="34">
        <v>45396</v>
      </c>
      <c r="B295" s="34" t="str">
        <f t="shared" si="9"/>
        <v>April</v>
      </c>
      <c r="C295" s="4" t="str">
        <f t="shared" si="8"/>
        <v>Sunday</v>
      </c>
      <c r="D295" s="5">
        <v>45396.708273414355</v>
      </c>
      <c r="E295" s="6" t="str" cm="1">
        <f t="array" ref="E295">_xlfn.IFS(HOUR(D295)&gt;=20,"20-24 ",HOUR(D295)&gt;=16,"16-20",HOUR(D295)&gt;=12,"12-16",HOUR(D295)&lt;12,"7-12")</f>
        <v>16-20</v>
      </c>
      <c r="F295" s="6" t="s">
        <v>3</v>
      </c>
      <c r="G295" s="6" t="s">
        <v>23</v>
      </c>
      <c r="H295" s="6">
        <v>28.9</v>
      </c>
      <c r="I295" s="6" t="s">
        <v>28</v>
      </c>
    </row>
    <row r="296" spans="1:9" x14ac:dyDescent="0.35">
      <c r="A296" s="34">
        <v>45396</v>
      </c>
      <c r="B296" s="34" t="str">
        <f t="shared" si="9"/>
        <v>April</v>
      </c>
      <c r="C296" s="4" t="str">
        <f t="shared" si="8"/>
        <v>Sunday</v>
      </c>
      <c r="D296" s="5">
        <v>45396.708858645834</v>
      </c>
      <c r="E296" s="6" t="str" cm="1">
        <f t="array" ref="E296">_xlfn.IFS(HOUR(D296)&gt;=20,"20-24 ",HOUR(D296)&gt;=16,"16-20",HOUR(D296)&gt;=12,"12-16",HOUR(D296)&lt;12,"7-12")</f>
        <v>16-20</v>
      </c>
      <c r="F296" s="6" t="s">
        <v>3</v>
      </c>
      <c r="G296" s="6" t="s">
        <v>31</v>
      </c>
      <c r="H296" s="6">
        <v>38.700000000000003</v>
      </c>
      <c r="I296" s="6" t="s">
        <v>7</v>
      </c>
    </row>
    <row r="297" spans="1:9" x14ac:dyDescent="0.35">
      <c r="A297" s="34">
        <v>45396</v>
      </c>
      <c r="B297" s="34" t="str">
        <f t="shared" si="9"/>
        <v>April</v>
      </c>
      <c r="C297" s="4" t="str">
        <f t="shared" si="8"/>
        <v>Sunday</v>
      </c>
      <c r="D297" s="5">
        <v>45396.77661630787</v>
      </c>
      <c r="E297" s="6" t="str" cm="1">
        <f t="array" ref="E297">_xlfn.IFS(HOUR(D297)&gt;=20,"20-24 ",HOUR(D297)&gt;=16,"16-20",HOUR(D297)&gt;=12,"12-16",HOUR(D297)&lt;12,"7-12")</f>
        <v>16-20</v>
      </c>
      <c r="F297" s="6" t="s">
        <v>3</v>
      </c>
      <c r="G297" s="6" t="s">
        <v>129</v>
      </c>
      <c r="H297" s="6">
        <v>38.700000000000003</v>
      </c>
      <c r="I297" s="6" t="s">
        <v>43</v>
      </c>
    </row>
    <row r="298" spans="1:9" x14ac:dyDescent="0.35">
      <c r="A298" s="34">
        <v>45397</v>
      </c>
      <c r="B298" s="34" t="str">
        <f t="shared" si="9"/>
        <v>April</v>
      </c>
      <c r="C298" s="4" t="str">
        <f t="shared" si="8"/>
        <v>Monday</v>
      </c>
      <c r="D298" s="5">
        <v>45397.489868275465</v>
      </c>
      <c r="E298" s="6" t="str" cm="1">
        <f t="array" ref="E298">_xlfn.IFS(HOUR(D298)&gt;=20,"20-24 ",HOUR(D298)&gt;=16,"16-20",HOUR(D298)&gt;=12,"12-16",HOUR(D298)&lt;12,"7-12")</f>
        <v>7-12</v>
      </c>
      <c r="F298" s="6" t="s">
        <v>3</v>
      </c>
      <c r="G298" s="6" t="s">
        <v>78</v>
      </c>
      <c r="H298" s="6">
        <v>28.9</v>
      </c>
      <c r="I298" s="6" t="s">
        <v>11</v>
      </c>
    </row>
    <row r="299" spans="1:9" x14ac:dyDescent="0.35">
      <c r="A299" s="34">
        <v>45397</v>
      </c>
      <c r="B299" s="34" t="str">
        <f t="shared" si="9"/>
        <v>April</v>
      </c>
      <c r="C299" s="4" t="str">
        <f t="shared" si="8"/>
        <v>Monday</v>
      </c>
      <c r="D299" s="5">
        <v>45397.709564340279</v>
      </c>
      <c r="E299" s="6" t="str" cm="1">
        <f t="array" ref="E299">_xlfn.IFS(HOUR(D299)&gt;=20,"20-24 ",HOUR(D299)&gt;=16,"16-20",HOUR(D299)&gt;=12,"12-16",HOUR(D299)&lt;12,"7-12")</f>
        <v>16-20</v>
      </c>
      <c r="F299" s="6" t="s">
        <v>3</v>
      </c>
      <c r="G299" s="6" t="s">
        <v>10</v>
      </c>
      <c r="H299" s="6">
        <v>28.9</v>
      </c>
      <c r="I299" s="6" t="s">
        <v>11</v>
      </c>
    </row>
    <row r="300" spans="1:9" x14ac:dyDescent="0.35">
      <c r="A300" s="34">
        <v>45397</v>
      </c>
      <c r="B300" s="34" t="str">
        <f t="shared" si="9"/>
        <v>April</v>
      </c>
      <c r="C300" s="4" t="str">
        <f t="shared" si="8"/>
        <v>Monday</v>
      </c>
      <c r="D300" s="5">
        <v>45397.71029800926</v>
      </c>
      <c r="E300" s="6" t="str" cm="1">
        <f t="array" ref="E300">_xlfn.IFS(HOUR(D300)&gt;=20,"20-24 ",HOUR(D300)&gt;=16,"16-20",HOUR(D300)&gt;=12,"12-16",HOUR(D300)&lt;12,"7-12")</f>
        <v>16-20</v>
      </c>
      <c r="F300" s="6" t="s">
        <v>3</v>
      </c>
      <c r="G300" s="6" t="s">
        <v>12</v>
      </c>
      <c r="H300" s="6">
        <v>33.799999999999997</v>
      </c>
      <c r="I300" s="6" t="s">
        <v>14</v>
      </c>
    </row>
    <row r="301" spans="1:9" x14ac:dyDescent="0.35">
      <c r="A301" s="34">
        <v>45397</v>
      </c>
      <c r="B301" s="34" t="str">
        <f t="shared" si="9"/>
        <v>April</v>
      </c>
      <c r="C301" s="4" t="str">
        <f t="shared" si="8"/>
        <v>Monday</v>
      </c>
      <c r="D301" s="5">
        <v>45397.814618472221</v>
      </c>
      <c r="E301" s="6" t="str" cm="1">
        <f t="array" ref="E301">_xlfn.IFS(HOUR(D301)&gt;=20,"20-24 ",HOUR(D301)&gt;=16,"16-20",HOUR(D301)&gt;=12,"12-16",HOUR(D301)&lt;12,"7-12")</f>
        <v>16-20</v>
      </c>
      <c r="F301" s="6" t="s">
        <v>3</v>
      </c>
      <c r="G301" s="6" t="s">
        <v>19</v>
      </c>
      <c r="H301" s="6">
        <v>33.799999999999997</v>
      </c>
      <c r="I301" s="6" t="s">
        <v>14</v>
      </c>
    </row>
    <row r="302" spans="1:9" x14ac:dyDescent="0.35">
      <c r="A302" s="34">
        <v>45397</v>
      </c>
      <c r="B302" s="34" t="str">
        <f t="shared" si="9"/>
        <v>April</v>
      </c>
      <c r="C302" s="4" t="str">
        <f t="shared" si="8"/>
        <v>Monday</v>
      </c>
      <c r="D302" s="5">
        <v>45397.820811481484</v>
      </c>
      <c r="E302" s="6" t="str" cm="1">
        <f t="array" ref="E302">_xlfn.IFS(HOUR(D302)&gt;=20,"20-24 ",HOUR(D302)&gt;=16,"16-20",HOUR(D302)&gt;=12,"12-16",HOUR(D302)&lt;12,"7-12")</f>
        <v>16-20</v>
      </c>
      <c r="F302" s="6" t="s">
        <v>21</v>
      </c>
      <c r="G302" s="6" t="s">
        <v>463</v>
      </c>
      <c r="H302" s="6">
        <v>25</v>
      </c>
      <c r="I302" s="6" t="s">
        <v>35</v>
      </c>
    </row>
    <row r="303" spans="1:9" x14ac:dyDescent="0.35">
      <c r="A303" s="34">
        <v>45398</v>
      </c>
      <c r="B303" s="34" t="str">
        <f t="shared" si="9"/>
        <v>April</v>
      </c>
      <c r="C303" s="4" t="str">
        <f t="shared" si="8"/>
        <v>Tuesday</v>
      </c>
      <c r="D303" s="5">
        <v>45398.447105405095</v>
      </c>
      <c r="E303" s="6" t="str" cm="1">
        <f t="array" ref="E303">_xlfn.IFS(HOUR(D303)&gt;=20,"20-24 ",HOUR(D303)&gt;=16,"16-20",HOUR(D303)&gt;=12,"12-16",HOUR(D303)&lt;12,"7-12")</f>
        <v>7-12</v>
      </c>
      <c r="F303" s="6" t="s">
        <v>21</v>
      </c>
      <c r="G303" s="6" t="s">
        <v>463</v>
      </c>
      <c r="H303" s="6">
        <v>35</v>
      </c>
      <c r="I303" s="6" t="s">
        <v>14</v>
      </c>
    </row>
    <row r="304" spans="1:9" x14ac:dyDescent="0.35">
      <c r="A304" s="34">
        <v>45398</v>
      </c>
      <c r="B304" s="34" t="str">
        <f t="shared" si="9"/>
        <v>April</v>
      </c>
      <c r="C304" s="4" t="str">
        <f t="shared" si="8"/>
        <v>Tuesday</v>
      </c>
      <c r="D304" s="5">
        <v>45398.448908634258</v>
      </c>
      <c r="E304" s="6" t="str" cm="1">
        <f t="array" ref="E304">_xlfn.IFS(HOUR(D304)&gt;=20,"20-24 ",HOUR(D304)&gt;=16,"16-20",HOUR(D304)&gt;=12,"12-16",HOUR(D304)&lt;12,"7-12")</f>
        <v>7-12</v>
      </c>
      <c r="F304" s="6" t="s">
        <v>3</v>
      </c>
      <c r="G304" s="6" t="s">
        <v>130</v>
      </c>
      <c r="H304" s="6">
        <v>33.799999999999997</v>
      </c>
      <c r="I304" s="6" t="s">
        <v>14</v>
      </c>
    </row>
    <row r="305" spans="1:9" x14ac:dyDescent="0.35">
      <c r="A305" s="34">
        <v>45398</v>
      </c>
      <c r="B305" s="34" t="str">
        <f t="shared" si="9"/>
        <v>April</v>
      </c>
      <c r="C305" s="4" t="str">
        <f t="shared" si="8"/>
        <v>Tuesday</v>
      </c>
      <c r="D305" s="5">
        <v>45398.52832957176</v>
      </c>
      <c r="E305" s="6" t="str" cm="1">
        <f t="array" ref="E305">_xlfn.IFS(HOUR(D305)&gt;=20,"20-24 ",HOUR(D305)&gt;=16,"16-20",HOUR(D305)&gt;=12,"12-16",HOUR(D305)&lt;12,"7-12")</f>
        <v>12-16</v>
      </c>
      <c r="F305" s="6" t="s">
        <v>3</v>
      </c>
      <c r="G305" s="6" t="s">
        <v>131</v>
      </c>
      <c r="H305" s="6">
        <v>38.700000000000003</v>
      </c>
      <c r="I305" s="6" t="s">
        <v>18</v>
      </c>
    </row>
    <row r="306" spans="1:9" x14ac:dyDescent="0.35">
      <c r="A306" s="34">
        <v>45398</v>
      </c>
      <c r="B306" s="34" t="str">
        <f t="shared" si="9"/>
        <v>April</v>
      </c>
      <c r="C306" s="4" t="str">
        <f t="shared" si="8"/>
        <v>Tuesday</v>
      </c>
      <c r="D306" s="5">
        <v>45398.536200810187</v>
      </c>
      <c r="E306" s="6" t="str" cm="1">
        <f t="array" ref="E306">_xlfn.IFS(HOUR(D306)&gt;=20,"20-24 ",HOUR(D306)&gt;=16,"16-20",HOUR(D306)&gt;=12,"12-16",HOUR(D306)&lt;12,"7-12")</f>
        <v>12-16</v>
      </c>
      <c r="F306" s="6" t="s">
        <v>3</v>
      </c>
      <c r="G306" s="6" t="s">
        <v>78</v>
      </c>
      <c r="H306" s="6">
        <v>28.9</v>
      </c>
      <c r="I306" s="6" t="s">
        <v>28</v>
      </c>
    </row>
    <row r="307" spans="1:9" x14ac:dyDescent="0.35">
      <c r="A307" s="34">
        <v>45398</v>
      </c>
      <c r="B307" s="34" t="str">
        <f t="shared" si="9"/>
        <v>April</v>
      </c>
      <c r="C307" s="4" t="str">
        <f t="shared" si="8"/>
        <v>Tuesday</v>
      </c>
      <c r="D307" s="5">
        <v>45398.627278807871</v>
      </c>
      <c r="E307" s="6" t="str" cm="1">
        <f t="array" ref="E307">_xlfn.IFS(HOUR(D307)&gt;=20,"20-24 ",HOUR(D307)&gt;=16,"16-20",HOUR(D307)&gt;=12,"12-16",HOUR(D307)&lt;12,"7-12")</f>
        <v>12-16</v>
      </c>
      <c r="F307" s="6" t="s">
        <v>3</v>
      </c>
      <c r="G307" s="6" t="s">
        <v>132</v>
      </c>
      <c r="H307" s="6">
        <v>28.9</v>
      </c>
      <c r="I307" s="6" t="s">
        <v>11</v>
      </c>
    </row>
    <row r="308" spans="1:9" x14ac:dyDescent="0.35">
      <c r="A308" s="34">
        <v>45398</v>
      </c>
      <c r="B308" s="34" t="str">
        <f t="shared" si="9"/>
        <v>April</v>
      </c>
      <c r="C308" s="4" t="str">
        <f t="shared" si="8"/>
        <v>Tuesday</v>
      </c>
      <c r="D308" s="5">
        <v>45398.737548703706</v>
      </c>
      <c r="E308" s="6" t="str" cm="1">
        <f t="array" ref="E308">_xlfn.IFS(HOUR(D308)&gt;=20,"20-24 ",HOUR(D308)&gt;=16,"16-20",HOUR(D308)&gt;=12,"12-16",HOUR(D308)&lt;12,"7-12")</f>
        <v>16-20</v>
      </c>
      <c r="F308" s="6" t="s">
        <v>3</v>
      </c>
      <c r="G308" s="6" t="s">
        <v>37</v>
      </c>
      <c r="H308" s="6">
        <v>33.799999999999997</v>
      </c>
      <c r="I308" s="6" t="s">
        <v>14</v>
      </c>
    </row>
    <row r="309" spans="1:9" x14ac:dyDescent="0.35">
      <c r="A309" s="34">
        <v>45398</v>
      </c>
      <c r="B309" s="34" t="str">
        <f t="shared" si="9"/>
        <v>April</v>
      </c>
      <c r="C309" s="4" t="str">
        <f t="shared" si="8"/>
        <v>Tuesday</v>
      </c>
      <c r="D309" s="5">
        <v>45398.738460185188</v>
      </c>
      <c r="E309" s="6" t="str" cm="1">
        <f t="array" ref="E309">_xlfn.IFS(HOUR(D309)&gt;=20,"20-24 ",HOUR(D309)&gt;=16,"16-20",HOUR(D309)&gt;=12,"12-16",HOUR(D309)&lt;12,"7-12")</f>
        <v>16-20</v>
      </c>
      <c r="F309" s="6" t="s">
        <v>3</v>
      </c>
      <c r="G309" s="6" t="s">
        <v>19</v>
      </c>
      <c r="H309" s="6">
        <v>38.700000000000003</v>
      </c>
      <c r="I309" s="6" t="s">
        <v>43</v>
      </c>
    </row>
    <row r="310" spans="1:9" x14ac:dyDescent="0.35">
      <c r="A310" s="34">
        <v>45398</v>
      </c>
      <c r="B310" s="34" t="str">
        <f t="shared" si="9"/>
        <v>April</v>
      </c>
      <c r="C310" s="4" t="str">
        <f t="shared" si="8"/>
        <v>Tuesday</v>
      </c>
      <c r="D310" s="5">
        <v>45398.756311030091</v>
      </c>
      <c r="E310" s="6" t="str" cm="1">
        <f t="array" ref="E310">_xlfn.IFS(HOUR(D310)&gt;=20,"20-24 ",HOUR(D310)&gt;=16,"16-20",HOUR(D310)&gt;=12,"12-16",HOUR(D310)&lt;12,"7-12")</f>
        <v>16-20</v>
      </c>
      <c r="F310" s="6" t="s">
        <v>3</v>
      </c>
      <c r="G310" s="6" t="s">
        <v>64</v>
      </c>
      <c r="H310" s="6">
        <v>38.700000000000003</v>
      </c>
      <c r="I310" s="6" t="s">
        <v>18</v>
      </c>
    </row>
    <row r="311" spans="1:9" x14ac:dyDescent="0.35">
      <c r="A311" s="34">
        <v>45399</v>
      </c>
      <c r="B311" s="34" t="str">
        <f t="shared" si="9"/>
        <v>April</v>
      </c>
      <c r="C311" s="4" t="str">
        <f t="shared" si="8"/>
        <v>Wednesday</v>
      </c>
      <c r="D311" s="5">
        <v>45399.564580925929</v>
      </c>
      <c r="E311" s="6" t="str" cm="1">
        <f t="array" ref="E311">_xlfn.IFS(HOUR(D311)&gt;=20,"20-24 ",HOUR(D311)&gt;=16,"16-20",HOUR(D311)&gt;=12,"12-16",HOUR(D311)&lt;12,"7-12")</f>
        <v>12-16</v>
      </c>
      <c r="F311" s="6" t="s">
        <v>3</v>
      </c>
      <c r="G311" s="6" t="s">
        <v>23</v>
      </c>
      <c r="H311" s="6">
        <v>28.9</v>
      </c>
      <c r="I311" s="6" t="s">
        <v>11</v>
      </c>
    </row>
    <row r="312" spans="1:9" x14ac:dyDescent="0.35">
      <c r="A312" s="34">
        <v>45399</v>
      </c>
      <c r="B312" s="34" t="str">
        <f t="shared" si="9"/>
        <v>April</v>
      </c>
      <c r="C312" s="4" t="str">
        <f t="shared" si="8"/>
        <v>Wednesday</v>
      </c>
      <c r="D312" s="5">
        <v>45399.572224317133</v>
      </c>
      <c r="E312" s="6" t="str" cm="1">
        <f t="array" ref="E312">_xlfn.IFS(HOUR(D312)&gt;=20,"20-24 ",HOUR(D312)&gt;=16,"16-20",HOUR(D312)&gt;=12,"12-16",HOUR(D312)&lt;12,"7-12")</f>
        <v>12-16</v>
      </c>
      <c r="F312" s="6" t="s">
        <v>3</v>
      </c>
      <c r="G312" s="6" t="s">
        <v>133</v>
      </c>
      <c r="H312" s="6">
        <v>24</v>
      </c>
      <c r="I312" s="6" t="s">
        <v>35</v>
      </c>
    </row>
    <row r="313" spans="1:9" x14ac:dyDescent="0.35">
      <c r="A313" s="34">
        <v>45399</v>
      </c>
      <c r="B313" s="34" t="str">
        <f t="shared" si="9"/>
        <v>April</v>
      </c>
      <c r="C313" s="4" t="str">
        <f t="shared" si="8"/>
        <v>Wednesday</v>
      </c>
      <c r="D313" s="5">
        <v>45399.675975810183</v>
      </c>
      <c r="E313" s="6" t="str" cm="1">
        <f t="array" ref="E313">_xlfn.IFS(HOUR(D313)&gt;=20,"20-24 ",HOUR(D313)&gt;=16,"16-20",HOUR(D313)&gt;=12,"12-16",HOUR(D313)&lt;12,"7-12")</f>
        <v>16-20</v>
      </c>
      <c r="F313" s="6" t="s">
        <v>21</v>
      </c>
      <c r="G313" s="6" t="s">
        <v>463</v>
      </c>
      <c r="H313" s="6">
        <v>40</v>
      </c>
      <c r="I313" s="6" t="s">
        <v>43</v>
      </c>
    </row>
    <row r="314" spans="1:9" x14ac:dyDescent="0.35">
      <c r="A314" s="34">
        <v>45399</v>
      </c>
      <c r="B314" s="34" t="str">
        <f t="shared" si="9"/>
        <v>April</v>
      </c>
      <c r="C314" s="4" t="str">
        <f t="shared" si="8"/>
        <v>Wednesday</v>
      </c>
      <c r="D314" s="5">
        <v>45399.709434594908</v>
      </c>
      <c r="E314" s="6" t="str" cm="1">
        <f t="array" ref="E314">_xlfn.IFS(HOUR(D314)&gt;=20,"20-24 ",HOUR(D314)&gt;=16,"16-20",HOUR(D314)&gt;=12,"12-16",HOUR(D314)&lt;12,"7-12")</f>
        <v>16-20</v>
      </c>
      <c r="F314" s="6" t="s">
        <v>3</v>
      </c>
      <c r="G314" s="6" t="s">
        <v>134</v>
      </c>
      <c r="H314" s="6">
        <v>38.700000000000003</v>
      </c>
      <c r="I314" s="6" t="s">
        <v>43</v>
      </c>
    </row>
    <row r="315" spans="1:9" x14ac:dyDescent="0.35">
      <c r="A315" s="34">
        <v>45399</v>
      </c>
      <c r="B315" s="34" t="str">
        <f t="shared" si="9"/>
        <v>April</v>
      </c>
      <c r="C315" s="4" t="str">
        <f t="shared" si="8"/>
        <v>Wednesday</v>
      </c>
      <c r="D315" s="5">
        <v>45399.710193136576</v>
      </c>
      <c r="E315" s="6" t="str" cm="1">
        <f t="array" ref="E315">_xlfn.IFS(HOUR(D315)&gt;=20,"20-24 ",HOUR(D315)&gt;=16,"16-20",HOUR(D315)&gt;=12,"12-16",HOUR(D315)&lt;12,"7-12")</f>
        <v>16-20</v>
      </c>
      <c r="F315" s="6" t="s">
        <v>3</v>
      </c>
      <c r="G315" s="6" t="s">
        <v>134</v>
      </c>
      <c r="H315" s="6">
        <v>38.700000000000003</v>
      </c>
      <c r="I315" s="6" t="s">
        <v>43</v>
      </c>
    </row>
    <row r="316" spans="1:9" x14ac:dyDescent="0.35">
      <c r="A316" s="34">
        <v>45399</v>
      </c>
      <c r="B316" s="34" t="str">
        <f t="shared" si="9"/>
        <v>April</v>
      </c>
      <c r="C316" s="4" t="str">
        <f t="shared" si="8"/>
        <v>Wednesday</v>
      </c>
      <c r="D316" s="5">
        <v>45399.759759594905</v>
      </c>
      <c r="E316" s="6" t="str" cm="1">
        <f t="array" ref="E316">_xlfn.IFS(HOUR(D316)&gt;=20,"20-24 ",HOUR(D316)&gt;=16,"16-20",HOUR(D316)&gt;=12,"12-16",HOUR(D316)&lt;12,"7-12")</f>
        <v>16-20</v>
      </c>
      <c r="F316" s="6" t="s">
        <v>3</v>
      </c>
      <c r="G316" s="6" t="s">
        <v>135</v>
      </c>
      <c r="H316" s="6">
        <v>28.9</v>
      </c>
      <c r="I316" s="6" t="s">
        <v>28</v>
      </c>
    </row>
    <row r="317" spans="1:9" x14ac:dyDescent="0.35">
      <c r="A317" s="34">
        <v>45400</v>
      </c>
      <c r="B317" s="34" t="str">
        <f t="shared" si="9"/>
        <v>April</v>
      </c>
      <c r="C317" s="4" t="str">
        <f t="shared" si="8"/>
        <v>Thursday</v>
      </c>
      <c r="D317" s="5">
        <v>45400.471547372683</v>
      </c>
      <c r="E317" s="6" t="str" cm="1">
        <f t="array" ref="E317">_xlfn.IFS(HOUR(D317)&gt;=20,"20-24 ",HOUR(D317)&gt;=16,"16-20",HOUR(D317)&gt;=12,"12-16",HOUR(D317)&lt;12,"7-12")</f>
        <v>7-12</v>
      </c>
      <c r="F317" s="6" t="s">
        <v>3</v>
      </c>
      <c r="G317" s="6" t="s">
        <v>10</v>
      </c>
      <c r="H317" s="6">
        <v>28.9</v>
      </c>
      <c r="I317" s="6" t="s">
        <v>11</v>
      </c>
    </row>
    <row r="318" spans="1:9" x14ac:dyDescent="0.35">
      <c r="A318" s="34">
        <v>45400</v>
      </c>
      <c r="B318" s="34" t="str">
        <f t="shared" si="9"/>
        <v>April</v>
      </c>
      <c r="C318" s="4" t="str">
        <f t="shared" si="8"/>
        <v>Thursday</v>
      </c>
      <c r="D318" s="5">
        <v>45400.47228814815</v>
      </c>
      <c r="E318" s="6" t="str" cm="1">
        <f t="array" ref="E318">_xlfn.IFS(HOUR(D318)&gt;=20,"20-24 ",HOUR(D318)&gt;=16,"16-20",HOUR(D318)&gt;=12,"12-16",HOUR(D318)&lt;12,"7-12")</f>
        <v>7-12</v>
      </c>
      <c r="F318" s="6" t="s">
        <v>3</v>
      </c>
      <c r="G318" s="6" t="s">
        <v>10</v>
      </c>
      <c r="H318" s="6">
        <v>28.9</v>
      </c>
      <c r="I318" s="6" t="s">
        <v>11</v>
      </c>
    </row>
    <row r="319" spans="1:9" x14ac:dyDescent="0.35">
      <c r="A319" s="34">
        <v>45400</v>
      </c>
      <c r="B319" s="34" t="str">
        <f t="shared" si="9"/>
        <v>April</v>
      </c>
      <c r="C319" s="4" t="str">
        <f t="shared" si="8"/>
        <v>Thursday</v>
      </c>
      <c r="D319" s="5">
        <v>45400.575841666665</v>
      </c>
      <c r="E319" s="6" t="str" cm="1">
        <f t="array" ref="E319">_xlfn.IFS(HOUR(D319)&gt;=20,"20-24 ",HOUR(D319)&gt;=16,"16-20",HOUR(D319)&gt;=12,"12-16",HOUR(D319)&lt;12,"7-12")</f>
        <v>12-16</v>
      </c>
      <c r="F319" s="6" t="s">
        <v>3</v>
      </c>
      <c r="G319" s="6" t="s">
        <v>136</v>
      </c>
      <c r="H319" s="6">
        <v>33.799999999999997</v>
      </c>
      <c r="I319" s="6" t="s">
        <v>14</v>
      </c>
    </row>
    <row r="320" spans="1:9" x14ac:dyDescent="0.35">
      <c r="A320" s="34">
        <v>45400</v>
      </c>
      <c r="B320" s="34" t="str">
        <f t="shared" si="9"/>
        <v>April</v>
      </c>
      <c r="C320" s="4" t="str">
        <f t="shared" si="8"/>
        <v>Thursday</v>
      </c>
      <c r="D320" s="5">
        <v>45400.576588946758</v>
      </c>
      <c r="E320" s="6" t="str" cm="1">
        <f t="array" ref="E320">_xlfn.IFS(HOUR(D320)&gt;=20,"20-24 ",HOUR(D320)&gt;=16,"16-20",HOUR(D320)&gt;=12,"12-16",HOUR(D320)&lt;12,"7-12")</f>
        <v>12-16</v>
      </c>
      <c r="F320" s="6" t="s">
        <v>3</v>
      </c>
      <c r="G320" s="6" t="s">
        <v>136</v>
      </c>
      <c r="H320" s="6">
        <v>28.9</v>
      </c>
      <c r="I320" s="6" t="s">
        <v>28</v>
      </c>
    </row>
    <row r="321" spans="1:9" x14ac:dyDescent="0.35">
      <c r="A321" s="34">
        <v>45400</v>
      </c>
      <c r="B321" s="34" t="str">
        <f t="shared" si="9"/>
        <v>April</v>
      </c>
      <c r="C321" s="4" t="str">
        <f t="shared" si="8"/>
        <v>Thursday</v>
      </c>
      <c r="D321" s="5">
        <v>45400.607173819444</v>
      </c>
      <c r="E321" s="6" t="str" cm="1">
        <f t="array" ref="E321">_xlfn.IFS(HOUR(D321)&gt;=20,"20-24 ",HOUR(D321)&gt;=16,"16-20",HOUR(D321)&gt;=12,"12-16",HOUR(D321)&lt;12,"7-12")</f>
        <v>12-16</v>
      </c>
      <c r="F321" s="6" t="s">
        <v>3</v>
      </c>
      <c r="G321" s="6" t="s">
        <v>137</v>
      </c>
      <c r="H321" s="6">
        <v>38.700000000000003</v>
      </c>
      <c r="I321" s="6" t="s">
        <v>43</v>
      </c>
    </row>
    <row r="322" spans="1:9" x14ac:dyDescent="0.35">
      <c r="A322" s="34">
        <v>45400</v>
      </c>
      <c r="B322" s="34" t="str">
        <f t="shared" si="9"/>
        <v>April</v>
      </c>
      <c r="C322" s="4" t="str">
        <f t="shared" ref="C322:C385" si="10">TEXT(A322,"ddddddddd")</f>
        <v>Thursday</v>
      </c>
      <c r="D322" s="5">
        <v>45400.608210115737</v>
      </c>
      <c r="E322" s="6" t="str" cm="1">
        <f t="array" ref="E322">_xlfn.IFS(HOUR(D322)&gt;=20,"20-24 ",HOUR(D322)&gt;=16,"16-20",HOUR(D322)&gt;=12,"12-16",HOUR(D322)&lt;12,"7-12")</f>
        <v>12-16</v>
      </c>
      <c r="F322" s="6" t="s">
        <v>3</v>
      </c>
      <c r="G322" s="6" t="s">
        <v>137</v>
      </c>
      <c r="H322" s="6">
        <v>38.700000000000003</v>
      </c>
      <c r="I322" s="6" t="s">
        <v>7</v>
      </c>
    </row>
    <row r="323" spans="1:9" x14ac:dyDescent="0.35">
      <c r="A323" s="34">
        <v>45400</v>
      </c>
      <c r="B323" s="34" t="str">
        <f t="shared" ref="B323:B386" si="11">TEXT(A323, "mmmm")</f>
        <v>April</v>
      </c>
      <c r="C323" s="4" t="str">
        <f t="shared" si="10"/>
        <v>Thursday</v>
      </c>
      <c r="D323" s="5">
        <v>45400.739071655094</v>
      </c>
      <c r="E323" s="6" t="str" cm="1">
        <f t="array" ref="E323">_xlfn.IFS(HOUR(D323)&gt;=20,"20-24 ",HOUR(D323)&gt;=16,"16-20",HOUR(D323)&gt;=12,"12-16",HOUR(D323)&lt;12,"7-12")</f>
        <v>16-20</v>
      </c>
      <c r="F323" s="6" t="s">
        <v>3</v>
      </c>
      <c r="G323" s="6" t="s">
        <v>83</v>
      </c>
      <c r="H323" s="6">
        <v>38.700000000000003</v>
      </c>
      <c r="I323" s="6" t="s">
        <v>7</v>
      </c>
    </row>
    <row r="324" spans="1:9" x14ac:dyDescent="0.35">
      <c r="A324" s="34">
        <v>45400</v>
      </c>
      <c r="B324" s="34" t="str">
        <f t="shared" si="11"/>
        <v>April</v>
      </c>
      <c r="C324" s="4" t="str">
        <f t="shared" si="10"/>
        <v>Thursday</v>
      </c>
      <c r="D324" s="5">
        <v>45400.764652141203</v>
      </c>
      <c r="E324" s="6" t="str" cm="1">
        <f t="array" ref="E324">_xlfn.IFS(HOUR(D324)&gt;=20,"20-24 ",HOUR(D324)&gt;=16,"16-20",HOUR(D324)&gt;=12,"12-16",HOUR(D324)&lt;12,"7-12")</f>
        <v>16-20</v>
      </c>
      <c r="F324" s="6" t="s">
        <v>3</v>
      </c>
      <c r="G324" s="6" t="s">
        <v>99</v>
      </c>
      <c r="H324" s="6">
        <v>38.700000000000003</v>
      </c>
      <c r="I324" s="6" t="s">
        <v>43</v>
      </c>
    </row>
    <row r="325" spans="1:9" x14ac:dyDescent="0.35">
      <c r="A325" s="34">
        <v>45400</v>
      </c>
      <c r="B325" s="34" t="str">
        <f t="shared" si="11"/>
        <v>April</v>
      </c>
      <c r="C325" s="4" t="str">
        <f t="shared" si="10"/>
        <v>Thursday</v>
      </c>
      <c r="D325" s="5">
        <v>45400.819342511575</v>
      </c>
      <c r="E325" s="6" t="str" cm="1">
        <f t="array" ref="E325">_xlfn.IFS(HOUR(D325)&gt;=20,"20-24 ",HOUR(D325)&gt;=16,"16-20",HOUR(D325)&gt;=12,"12-16",HOUR(D325)&lt;12,"7-12")</f>
        <v>16-20</v>
      </c>
      <c r="F325" s="6" t="s">
        <v>3</v>
      </c>
      <c r="G325" s="6" t="s">
        <v>37</v>
      </c>
      <c r="H325" s="6">
        <v>38.700000000000003</v>
      </c>
      <c r="I325" s="6" t="s">
        <v>9</v>
      </c>
    </row>
    <row r="326" spans="1:9" x14ac:dyDescent="0.35">
      <c r="A326" s="34">
        <v>45400</v>
      </c>
      <c r="B326" s="34" t="str">
        <f t="shared" si="11"/>
        <v>April</v>
      </c>
      <c r="C326" s="4" t="str">
        <f t="shared" si="10"/>
        <v>Thursday</v>
      </c>
      <c r="D326" s="5">
        <v>45400.820011041666</v>
      </c>
      <c r="E326" s="6" t="str" cm="1">
        <f t="array" ref="E326">_xlfn.IFS(HOUR(D326)&gt;=20,"20-24 ",HOUR(D326)&gt;=16,"16-20",HOUR(D326)&gt;=12,"12-16",HOUR(D326)&lt;12,"7-12")</f>
        <v>16-20</v>
      </c>
      <c r="F326" s="6" t="s">
        <v>3</v>
      </c>
      <c r="G326" s="6" t="s">
        <v>19</v>
      </c>
      <c r="H326" s="6">
        <v>38.700000000000003</v>
      </c>
      <c r="I326" s="6" t="s">
        <v>9</v>
      </c>
    </row>
    <row r="327" spans="1:9" x14ac:dyDescent="0.35">
      <c r="A327" s="34">
        <v>45401</v>
      </c>
      <c r="B327" s="34" t="str">
        <f t="shared" si="11"/>
        <v>April</v>
      </c>
      <c r="C327" s="4" t="str">
        <f t="shared" si="10"/>
        <v>Friday</v>
      </c>
      <c r="D327" s="5">
        <v>45401.424030717593</v>
      </c>
      <c r="E327" s="6" t="str" cm="1">
        <f t="array" ref="E327">_xlfn.IFS(HOUR(D327)&gt;=20,"20-24 ",HOUR(D327)&gt;=16,"16-20",HOUR(D327)&gt;=12,"12-16",HOUR(D327)&lt;12,"7-12")</f>
        <v>7-12</v>
      </c>
      <c r="F327" s="6" t="s">
        <v>3</v>
      </c>
      <c r="G327" s="6" t="s">
        <v>6</v>
      </c>
      <c r="H327" s="6">
        <v>38.700000000000003</v>
      </c>
      <c r="I327" s="6" t="s">
        <v>7</v>
      </c>
    </row>
    <row r="328" spans="1:9" x14ac:dyDescent="0.35">
      <c r="A328" s="34">
        <v>45401</v>
      </c>
      <c r="B328" s="34" t="str">
        <f t="shared" si="11"/>
        <v>April</v>
      </c>
      <c r="C328" s="4" t="str">
        <f t="shared" si="10"/>
        <v>Friday</v>
      </c>
      <c r="D328" s="5">
        <v>45401.54985935185</v>
      </c>
      <c r="E328" s="6" t="str" cm="1">
        <f t="array" ref="E328">_xlfn.IFS(HOUR(D328)&gt;=20,"20-24 ",HOUR(D328)&gt;=16,"16-20",HOUR(D328)&gt;=12,"12-16",HOUR(D328)&lt;12,"7-12")</f>
        <v>12-16</v>
      </c>
      <c r="F328" s="6" t="s">
        <v>3</v>
      </c>
      <c r="G328" s="6" t="s">
        <v>54</v>
      </c>
      <c r="H328" s="6">
        <v>33.799999999999997</v>
      </c>
      <c r="I328" s="6" t="s">
        <v>14</v>
      </c>
    </row>
    <row r="329" spans="1:9" x14ac:dyDescent="0.35">
      <c r="A329" s="34">
        <v>45401</v>
      </c>
      <c r="B329" s="34" t="str">
        <f t="shared" si="11"/>
        <v>April</v>
      </c>
      <c r="C329" s="4" t="str">
        <f t="shared" si="10"/>
        <v>Friday</v>
      </c>
      <c r="D329" s="5">
        <v>45401.550936064814</v>
      </c>
      <c r="E329" s="6" t="str" cm="1">
        <f t="array" ref="E329">_xlfn.IFS(HOUR(D329)&gt;=20,"20-24 ",HOUR(D329)&gt;=16,"16-20",HOUR(D329)&gt;=12,"12-16",HOUR(D329)&lt;12,"7-12")</f>
        <v>12-16</v>
      </c>
      <c r="F329" s="6" t="s">
        <v>3</v>
      </c>
      <c r="G329" s="6" t="s">
        <v>54</v>
      </c>
      <c r="H329" s="6">
        <v>38.700000000000003</v>
      </c>
      <c r="I329" s="6" t="s">
        <v>43</v>
      </c>
    </row>
    <row r="330" spans="1:9" x14ac:dyDescent="0.35">
      <c r="A330" s="34">
        <v>45401</v>
      </c>
      <c r="B330" s="34" t="str">
        <f t="shared" si="11"/>
        <v>April</v>
      </c>
      <c r="C330" s="4" t="str">
        <f t="shared" si="10"/>
        <v>Friday</v>
      </c>
      <c r="D330" s="5">
        <v>45401.582570185186</v>
      </c>
      <c r="E330" s="6" t="str" cm="1">
        <f t="array" ref="E330">_xlfn.IFS(HOUR(D330)&gt;=20,"20-24 ",HOUR(D330)&gt;=16,"16-20",HOUR(D330)&gt;=12,"12-16",HOUR(D330)&lt;12,"7-12")</f>
        <v>12-16</v>
      </c>
      <c r="F330" s="6" t="s">
        <v>3</v>
      </c>
      <c r="G330" s="6" t="s">
        <v>138</v>
      </c>
      <c r="H330" s="6">
        <v>38.700000000000003</v>
      </c>
      <c r="I330" s="6" t="s">
        <v>9</v>
      </c>
    </row>
    <row r="331" spans="1:9" x14ac:dyDescent="0.35">
      <c r="A331" s="34">
        <v>45401</v>
      </c>
      <c r="B331" s="34" t="str">
        <f t="shared" si="11"/>
        <v>April</v>
      </c>
      <c r="C331" s="4" t="str">
        <f t="shared" si="10"/>
        <v>Friday</v>
      </c>
      <c r="D331" s="5">
        <v>45401.583214004633</v>
      </c>
      <c r="E331" s="6" t="str" cm="1">
        <f t="array" ref="E331">_xlfn.IFS(HOUR(D331)&gt;=20,"20-24 ",HOUR(D331)&gt;=16,"16-20",HOUR(D331)&gt;=12,"12-16",HOUR(D331)&lt;12,"7-12")</f>
        <v>12-16</v>
      </c>
      <c r="F331" s="6" t="s">
        <v>3</v>
      </c>
      <c r="G331" s="6" t="s">
        <v>138</v>
      </c>
      <c r="H331" s="6">
        <v>38.700000000000003</v>
      </c>
      <c r="I331" s="6" t="s">
        <v>43</v>
      </c>
    </row>
    <row r="332" spans="1:9" x14ac:dyDescent="0.35">
      <c r="A332" s="34">
        <v>45401</v>
      </c>
      <c r="B332" s="34" t="str">
        <f t="shared" si="11"/>
        <v>April</v>
      </c>
      <c r="C332" s="4" t="str">
        <f t="shared" si="10"/>
        <v>Friday</v>
      </c>
      <c r="D332" s="5">
        <v>45401.766195729164</v>
      </c>
      <c r="E332" s="6" t="str" cm="1">
        <f t="array" ref="E332">_xlfn.IFS(HOUR(D332)&gt;=20,"20-24 ",HOUR(D332)&gt;=16,"16-20",HOUR(D332)&gt;=12,"12-16",HOUR(D332)&lt;12,"7-12")</f>
        <v>16-20</v>
      </c>
      <c r="F332" s="6" t="s">
        <v>3</v>
      </c>
      <c r="G332" s="6" t="s">
        <v>37</v>
      </c>
      <c r="H332" s="6">
        <v>38.700000000000003</v>
      </c>
      <c r="I332" s="6" t="s">
        <v>18</v>
      </c>
    </row>
    <row r="333" spans="1:9" x14ac:dyDescent="0.35">
      <c r="A333" s="34">
        <v>45401</v>
      </c>
      <c r="B333" s="34" t="str">
        <f t="shared" si="11"/>
        <v>April</v>
      </c>
      <c r="C333" s="4" t="str">
        <f t="shared" si="10"/>
        <v>Friday</v>
      </c>
      <c r="D333" s="5">
        <v>45401.767748148151</v>
      </c>
      <c r="E333" s="6" t="str" cm="1">
        <f t="array" ref="E333">_xlfn.IFS(HOUR(D333)&gt;=20,"20-24 ",HOUR(D333)&gt;=16,"16-20",HOUR(D333)&gt;=12,"12-16",HOUR(D333)&lt;12,"7-12")</f>
        <v>16-20</v>
      </c>
      <c r="F333" s="6" t="s">
        <v>3</v>
      </c>
      <c r="G333" s="6" t="s">
        <v>19</v>
      </c>
      <c r="H333" s="6">
        <v>33.799999999999997</v>
      </c>
      <c r="I333" s="6" t="s">
        <v>14</v>
      </c>
    </row>
    <row r="334" spans="1:9" x14ac:dyDescent="0.35">
      <c r="A334" s="34">
        <v>45402</v>
      </c>
      <c r="B334" s="34" t="str">
        <f t="shared" si="11"/>
        <v>April</v>
      </c>
      <c r="C334" s="4" t="str">
        <f t="shared" si="10"/>
        <v>Saturday</v>
      </c>
      <c r="D334" s="5">
        <v>45402.475493993057</v>
      </c>
      <c r="E334" s="6" t="str" cm="1">
        <f t="array" ref="E334">_xlfn.IFS(HOUR(D334)&gt;=20,"20-24 ",HOUR(D334)&gt;=16,"16-20",HOUR(D334)&gt;=12,"12-16",HOUR(D334)&lt;12,"7-12")</f>
        <v>7-12</v>
      </c>
      <c r="F334" s="6" t="s">
        <v>21</v>
      </c>
      <c r="G334" s="6" t="s">
        <v>463</v>
      </c>
      <c r="H334" s="6">
        <v>35</v>
      </c>
      <c r="I334" s="6" t="s">
        <v>14</v>
      </c>
    </row>
    <row r="335" spans="1:9" x14ac:dyDescent="0.35">
      <c r="A335" s="34">
        <v>45402</v>
      </c>
      <c r="B335" s="34" t="str">
        <f t="shared" si="11"/>
        <v>April</v>
      </c>
      <c r="C335" s="4" t="str">
        <f t="shared" si="10"/>
        <v>Saturday</v>
      </c>
      <c r="D335" s="5">
        <v>45402.505968761572</v>
      </c>
      <c r="E335" s="6" t="str" cm="1">
        <f t="array" ref="E335">_xlfn.IFS(HOUR(D335)&gt;=20,"20-24 ",HOUR(D335)&gt;=16,"16-20",HOUR(D335)&gt;=12,"12-16",HOUR(D335)&lt;12,"7-12")</f>
        <v>12-16</v>
      </c>
      <c r="F335" s="6" t="s">
        <v>3</v>
      </c>
      <c r="G335" s="6" t="s">
        <v>139</v>
      </c>
      <c r="H335" s="6">
        <v>33.799999999999997</v>
      </c>
      <c r="I335" s="6" t="s">
        <v>14</v>
      </c>
    </row>
    <row r="336" spans="1:9" x14ac:dyDescent="0.35">
      <c r="A336" s="34">
        <v>45402</v>
      </c>
      <c r="B336" s="34" t="str">
        <f t="shared" si="11"/>
        <v>April</v>
      </c>
      <c r="C336" s="4" t="str">
        <f t="shared" si="10"/>
        <v>Saturday</v>
      </c>
      <c r="D336" s="5">
        <v>45402.506743796293</v>
      </c>
      <c r="E336" s="6" t="str" cm="1">
        <f t="array" ref="E336">_xlfn.IFS(HOUR(D336)&gt;=20,"20-24 ",HOUR(D336)&gt;=16,"16-20",HOUR(D336)&gt;=12,"12-16",HOUR(D336)&lt;12,"7-12")</f>
        <v>12-16</v>
      </c>
      <c r="F336" s="6" t="s">
        <v>3</v>
      </c>
      <c r="G336" s="6" t="s">
        <v>139</v>
      </c>
      <c r="H336" s="6">
        <v>33.799999999999997</v>
      </c>
      <c r="I336" s="6" t="s">
        <v>14</v>
      </c>
    </row>
    <row r="337" spans="1:9" x14ac:dyDescent="0.35">
      <c r="A337" s="34">
        <v>45402</v>
      </c>
      <c r="B337" s="34" t="str">
        <f t="shared" si="11"/>
        <v>April</v>
      </c>
      <c r="C337" s="4" t="str">
        <f t="shared" si="10"/>
        <v>Saturday</v>
      </c>
      <c r="D337" s="5">
        <v>45402.547654837967</v>
      </c>
      <c r="E337" s="6" t="str" cm="1">
        <f t="array" ref="E337">_xlfn.IFS(HOUR(D337)&gt;=20,"20-24 ",HOUR(D337)&gt;=16,"16-20",HOUR(D337)&gt;=12,"12-16",HOUR(D337)&lt;12,"7-12")</f>
        <v>12-16</v>
      </c>
      <c r="F337" s="6" t="s">
        <v>3</v>
      </c>
      <c r="G337" s="6" t="s">
        <v>132</v>
      </c>
      <c r="H337" s="6">
        <v>28.9</v>
      </c>
      <c r="I337" s="6" t="s">
        <v>11</v>
      </c>
    </row>
    <row r="338" spans="1:9" x14ac:dyDescent="0.35">
      <c r="A338" s="34">
        <v>45402</v>
      </c>
      <c r="B338" s="34" t="str">
        <f t="shared" si="11"/>
        <v>April</v>
      </c>
      <c r="C338" s="4" t="str">
        <f t="shared" si="10"/>
        <v>Saturday</v>
      </c>
      <c r="D338" s="5">
        <v>45402.548471122682</v>
      </c>
      <c r="E338" s="6" t="str" cm="1">
        <f t="array" ref="E338">_xlfn.IFS(HOUR(D338)&gt;=20,"20-24 ",HOUR(D338)&gt;=16,"16-20",HOUR(D338)&gt;=12,"12-16",HOUR(D338)&lt;12,"7-12")</f>
        <v>12-16</v>
      </c>
      <c r="F338" s="6" t="s">
        <v>3</v>
      </c>
      <c r="G338" s="6" t="s">
        <v>132</v>
      </c>
      <c r="H338" s="6">
        <v>33.799999999999997</v>
      </c>
      <c r="I338" s="6" t="s">
        <v>14</v>
      </c>
    </row>
    <row r="339" spans="1:9" x14ac:dyDescent="0.35">
      <c r="A339" s="34">
        <v>45402</v>
      </c>
      <c r="B339" s="34" t="str">
        <f t="shared" si="11"/>
        <v>April</v>
      </c>
      <c r="C339" s="4" t="str">
        <f t="shared" si="10"/>
        <v>Saturday</v>
      </c>
      <c r="D339" s="5">
        <v>45402.549249432872</v>
      </c>
      <c r="E339" s="6" t="str" cm="1">
        <f t="array" ref="E339">_xlfn.IFS(HOUR(D339)&gt;=20,"20-24 ",HOUR(D339)&gt;=16,"16-20",HOUR(D339)&gt;=12,"12-16",HOUR(D339)&lt;12,"7-12")</f>
        <v>12-16</v>
      </c>
      <c r="F339" s="6" t="s">
        <v>3</v>
      </c>
      <c r="G339" s="6" t="s">
        <v>132</v>
      </c>
      <c r="H339" s="6">
        <v>38.700000000000003</v>
      </c>
      <c r="I339" s="6" t="s">
        <v>9</v>
      </c>
    </row>
    <row r="340" spans="1:9" x14ac:dyDescent="0.35">
      <c r="A340" s="34">
        <v>45402</v>
      </c>
      <c r="B340" s="34" t="str">
        <f t="shared" si="11"/>
        <v>April</v>
      </c>
      <c r="C340" s="4" t="str">
        <f t="shared" si="10"/>
        <v>Saturday</v>
      </c>
      <c r="D340" s="5">
        <v>45402.614098587961</v>
      </c>
      <c r="E340" s="6" t="str" cm="1">
        <f t="array" ref="E340">_xlfn.IFS(HOUR(D340)&gt;=20,"20-24 ",HOUR(D340)&gt;=16,"16-20",HOUR(D340)&gt;=12,"12-16",HOUR(D340)&lt;12,"7-12")</f>
        <v>12-16</v>
      </c>
      <c r="F340" s="6" t="s">
        <v>3</v>
      </c>
      <c r="G340" s="6" t="s">
        <v>54</v>
      </c>
      <c r="H340" s="6">
        <v>38.700000000000003</v>
      </c>
      <c r="I340" s="6" t="s">
        <v>43</v>
      </c>
    </row>
    <row r="341" spans="1:9" x14ac:dyDescent="0.35">
      <c r="A341" s="34">
        <v>45402</v>
      </c>
      <c r="B341" s="34" t="str">
        <f t="shared" si="11"/>
        <v>April</v>
      </c>
      <c r="C341" s="4" t="str">
        <f t="shared" si="10"/>
        <v>Saturday</v>
      </c>
      <c r="D341" s="5">
        <v>45402.632642708333</v>
      </c>
      <c r="E341" s="6" t="str" cm="1">
        <f t="array" ref="E341">_xlfn.IFS(HOUR(D341)&gt;=20,"20-24 ",HOUR(D341)&gt;=16,"16-20",HOUR(D341)&gt;=12,"12-16",HOUR(D341)&lt;12,"7-12")</f>
        <v>12-16</v>
      </c>
      <c r="F341" s="6" t="s">
        <v>3</v>
      </c>
      <c r="G341" s="6" t="s">
        <v>19</v>
      </c>
      <c r="H341" s="6">
        <v>33.799999999999997</v>
      </c>
      <c r="I341" s="6" t="s">
        <v>14</v>
      </c>
    </row>
    <row r="342" spans="1:9" x14ac:dyDescent="0.35">
      <c r="A342" s="34">
        <v>45402</v>
      </c>
      <c r="B342" s="34" t="str">
        <f t="shared" si="11"/>
        <v>April</v>
      </c>
      <c r="C342" s="4" t="str">
        <f t="shared" si="10"/>
        <v>Saturday</v>
      </c>
      <c r="D342" s="5">
        <v>45402.640749039354</v>
      </c>
      <c r="E342" s="6" t="str" cm="1">
        <f t="array" ref="E342">_xlfn.IFS(HOUR(D342)&gt;=20,"20-24 ",HOUR(D342)&gt;=16,"16-20",HOUR(D342)&gt;=12,"12-16",HOUR(D342)&lt;12,"7-12")</f>
        <v>12-16</v>
      </c>
      <c r="F342" s="6" t="s">
        <v>3</v>
      </c>
      <c r="G342" s="6" t="s">
        <v>23</v>
      </c>
      <c r="H342" s="6">
        <v>32.82</v>
      </c>
      <c r="I342" s="6" t="s">
        <v>14</v>
      </c>
    </row>
    <row r="343" spans="1:9" x14ac:dyDescent="0.35">
      <c r="A343" s="34">
        <v>45402</v>
      </c>
      <c r="B343" s="34" t="str">
        <f t="shared" si="11"/>
        <v>April</v>
      </c>
      <c r="C343" s="4" t="str">
        <f t="shared" si="10"/>
        <v>Saturday</v>
      </c>
      <c r="D343" s="5">
        <v>45402.65931884259</v>
      </c>
      <c r="E343" s="6" t="str" cm="1">
        <f t="array" ref="E343">_xlfn.IFS(HOUR(D343)&gt;=20,"20-24 ",HOUR(D343)&gt;=16,"16-20",HOUR(D343)&gt;=12,"12-16",HOUR(D343)&lt;12,"7-12")</f>
        <v>12-16</v>
      </c>
      <c r="F343" s="6" t="s">
        <v>3</v>
      </c>
      <c r="G343" s="6" t="s">
        <v>140</v>
      </c>
      <c r="H343" s="6">
        <v>32.82</v>
      </c>
      <c r="I343" s="6" t="s">
        <v>14</v>
      </c>
    </row>
    <row r="344" spans="1:9" x14ac:dyDescent="0.35">
      <c r="A344" s="34">
        <v>45402</v>
      </c>
      <c r="B344" s="34" t="str">
        <f t="shared" si="11"/>
        <v>April</v>
      </c>
      <c r="C344" s="4" t="str">
        <f t="shared" si="10"/>
        <v>Saturday</v>
      </c>
      <c r="D344" s="5">
        <v>45402.713865381942</v>
      </c>
      <c r="E344" s="6" t="str" cm="1">
        <f t="array" ref="E344">_xlfn.IFS(HOUR(D344)&gt;=20,"20-24 ",HOUR(D344)&gt;=16,"16-20",HOUR(D344)&gt;=12,"12-16",HOUR(D344)&lt;12,"7-12")</f>
        <v>16-20</v>
      </c>
      <c r="F344" s="6" t="s">
        <v>21</v>
      </c>
      <c r="G344" s="6" t="s">
        <v>463</v>
      </c>
      <c r="H344" s="6">
        <v>39</v>
      </c>
      <c r="I344" s="6" t="s">
        <v>18</v>
      </c>
    </row>
    <row r="345" spans="1:9" x14ac:dyDescent="0.35">
      <c r="A345" s="34">
        <v>45402</v>
      </c>
      <c r="B345" s="34" t="str">
        <f t="shared" si="11"/>
        <v>April</v>
      </c>
      <c r="C345" s="4" t="str">
        <f t="shared" si="10"/>
        <v>Saturday</v>
      </c>
      <c r="D345" s="5">
        <v>45402.76923027778</v>
      </c>
      <c r="E345" s="6" t="str" cm="1">
        <f t="array" ref="E345">_xlfn.IFS(HOUR(D345)&gt;=20,"20-24 ",HOUR(D345)&gt;=16,"16-20",HOUR(D345)&gt;=12,"12-16",HOUR(D345)&lt;12,"7-12")</f>
        <v>16-20</v>
      </c>
      <c r="F345" s="6" t="s">
        <v>3</v>
      </c>
      <c r="G345" s="6" t="s">
        <v>141</v>
      </c>
      <c r="H345" s="6">
        <v>37.72</v>
      </c>
      <c r="I345" s="6" t="s">
        <v>43</v>
      </c>
    </row>
    <row r="346" spans="1:9" x14ac:dyDescent="0.35">
      <c r="A346" s="34">
        <v>45402</v>
      </c>
      <c r="B346" s="34" t="str">
        <f t="shared" si="11"/>
        <v>April</v>
      </c>
      <c r="C346" s="4" t="str">
        <f t="shared" si="10"/>
        <v>Saturday</v>
      </c>
      <c r="D346" s="5">
        <v>45402.769987268519</v>
      </c>
      <c r="E346" s="6" t="str" cm="1">
        <f t="array" ref="E346">_xlfn.IFS(HOUR(D346)&gt;=20,"20-24 ",HOUR(D346)&gt;=16,"16-20",HOUR(D346)&gt;=12,"12-16",HOUR(D346)&lt;12,"7-12")</f>
        <v>16-20</v>
      </c>
      <c r="F346" s="6" t="s">
        <v>3</v>
      </c>
      <c r="G346" s="6" t="s">
        <v>141</v>
      </c>
      <c r="H346" s="6">
        <v>37.72</v>
      </c>
      <c r="I346" s="6" t="s">
        <v>43</v>
      </c>
    </row>
    <row r="347" spans="1:9" x14ac:dyDescent="0.35">
      <c r="A347" s="34">
        <v>45402</v>
      </c>
      <c r="B347" s="34" t="str">
        <f t="shared" si="11"/>
        <v>April</v>
      </c>
      <c r="C347" s="4" t="str">
        <f t="shared" si="10"/>
        <v>Saturday</v>
      </c>
      <c r="D347" s="5">
        <v>45402.813140243059</v>
      </c>
      <c r="E347" s="6" t="str" cm="1">
        <f t="array" ref="E347">_xlfn.IFS(HOUR(D347)&gt;=20,"20-24 ",HOUR(D347)&gt;=16,"16-20",HOUR(D347)&gt;=12,"12-16",HOUR(D347)&lt;12,"7-12")</f>
        <v>16-20</v>
      </c>
      <c r="F347" s="6" t="s">
        <v>3</v>
      </c>
      <c r="G347" s="6" t="s">
        <v>142</v>
      </c>
      <c r="H347" s="6">
        <v>37.72</v>
      </c>
      <c r="I347" s="6" t="s">
        <v>7</v>
      </c>
    </row>
    <row r="348" spans="1:9" x14ac:dyDescent="0.35">
      <c r="A348" s="34">
        <v>45403</v>
      </c>
      <c r="B348" s="34" t="str">
        <f t="shared" si="11"/>
        <v>April</v>
      </c>
      <c r="C348" s="4" t="str">
        <f t="shared" si="10"/>
        <v>Sunday</v>
      </c>
      <c r="D348" s="5">
        <v>45403.469973460647</v>
      </c>
      <c r="E348" s="6" t="str" cm="1">
        <f t="array" ref="E348">_xlfn.IFS(HOUR(D348)&gt;=20,"20-24 ",HOUR(D348)&gt;=16,"16-20",HOUR(D348)&gt;=12,"12-16",HOUR(D348)&lt;12,"7-12")</f>
        <v>7-12</v>
      </c>
      <c r="F348" s="6" t="s">
        <v>3</v>
      </c>
      <c r="G348" s="6" t="s">
        <v>6</v>
      </c>
      <c r="H348" s="6">
        <v>37.72</v>
      </c>
      <c r="I348" s="6" t="s">
        <v>7</v>
      </c>
    </row>
    <row r="349" spans="1:9" x14ac:dyDescent="0.35">
      <c r="A349" s="34">
        <v>45403</v>
      </c>
      <c r="B349" s="34" t="str">
        <f t="shared" si="11"/>
        <v>April</v>
      </c>
      <c r="C349" s="4" t="str">
        <f t="shared" si="10"/>
        <v>Sunday</v>
      </c>
      <c r="D349" s="5">
        <v>45403.594184502312</v>
      </c>
      <c r="E349" s="6" t="str" cm="1">
        <f t="array" ref="E349">_xlfn.IFS(HOUR(D349)&gt;=20,"20-24 ",HOUR(D349)&gt;=16,"16-20",HOUR(D349)&gt;=12,"12-16",HOUR(D349)&lt;12,"7-12")</f>
        <v>12-16</v>
      </c>
      <c r="F349" s="6" t="s">
        <v>3</v>
      </c>
      <c r="G349" s="6" t="s">
        <v>113</v>
      </c>
      <c r="H349" s="6">
        <v>27.92</v>
      </c>
      <c r="I349" s="6" t="s">
        <v>11</v>
      </c>
    </row>
    <row r="350" spans="1:9" x14ac:dyDescent="0.35">
      <c r="A350" s="34">
        <v>45403</v>
      </c>
      <c r="B350" s="34" t="str">
        <f t="shared" si="11"/>
        <v>April</v>
      </c>
      <c r="C350" s="4" t="str">
        <f t="shared" si="10"/>
        <v>Sunday</v>
      </c>
      <c r="D350" s="5">
        <v>45403.714620358798</v>
      </c>
      <c r="E350" s="6" t="str" cm="1">
        <f t="array" ref="E350">_xlfn.IFS(HOUR(D350)&gt;=20,"20-24 ",HOUR(D350)&gt;=16,"16-20",HOUR(D350)&gt;=12,"12-16",HOUR(D350)&lt;12,"7-12")</f>
        <v>16-20</v>
      </c>
      <c r="F350" s="6" t="s">
        <v>21</v>
      </c>
      <c r="G350" s="6" t="s">
        <v>463</v>
      </c>
      <c r="H350" s="6">
        <v>39</v>
      </c>
      <c r="I350" s="6" t="s">
        <v>43</v>
      </c>
    </row>
    <row r="351" spans="1:9" x14ac:dyDescent="0.35">
      <c r="A351" s="34">
        <v>45404</v>
      </c>
      <c r="B351" s="34" t="str">
        <f t="shared" si="11"/>
        <v>April</v>
      </c>
      <c r="C351" s="4" t="str">
        <f t="shared" si="10"/>
        <v>Monday</v>
      </c>
      <c r="D351" s="5">
        <v>45404.464773287036</v>
      </c>
      <c r="E351" s="6" t="str" cm="1">
        <f t="array" ref="E351">_xlfn.IFS(HOUR(D351)&gt;=20,"20-24 ",HOUR(D351)&gt;=16,"16-20",HOUR(D351)&gt;=12,"12-16",HOUR(D351)&lt;12,"7-12")</f>
        <v>7-12</v>
      </c>
      <c r="F351" s="6" t="s">
        <v>3</v>
      </c>
      <c r="G351" s="6" t="s">
        <v>23</v>
      </c>
      <c r="H351" s="6">
        <v>27.92</v>
      </c>
      <c r="I351" s="6" t="s">
        <v>11</v>
      </c>
    </row>
    <row r="352" spans="1:9" x14ac:dyDescent="0.35">
      <c r="A352" s="34">
        <v>45404</v>
      </c>
      <c r="B352" s="34" t="str">
        <f t="shared" si="11"/>
        <v>April</v>
      </c>
      <c r="C352" s="4" t="str">
        <f t="shared" si="10"/>
        <v>Monday</v>
      </c>
      <c r="D352" s="5">
        <v>45404.478785868057</v>
      </c>
      <c r="E352" s="6" t="str" cm="1">
        <f t="array" ref="E352">_xlfn.IFS(HOUR(D352)&gt;=20,"20-24 ",HOUR(D352)&gt;=16,"16-20",HOUR(D352)&gt;=12,"12-16",HOUR(D352)&lt;12,"7-12")</f>
        <v>7-12</v>
      </c>
      <c r="F352" s="6" t="s">
        <v>3</v>
      </c>
      <c r="G352" s="6" t="s">
        <v>143</v>
      </c>
      <c r="H352" s="6">
        <v>32.82</v>
      </c>
      <c r="I352" s="6" t="s">
        <v>14</v>
      </c>
    </row>
    <row r="353" spans="1:9" x14ac:dyDescent="0.35">
      <c r="A353" s="34">
        <v>45404</v>
      </c>
      <c r="B353" s="34" t="str">
        <f t="shared" si="11"/>
        <v>April</v>
      </c>
      <c r="C353" s="4" t="str">
        <f t="shared" si="10"/>
        <v>Monday</v>
      </c>
      <c r="D353" s="5">
        <v>45404.778160000002</v>
      </c>
      <c r="E353" s="6" t="str" cm="1">
        <f t="array" ref="E353">_xlfn.IFS(HOUR(D353)&gt;=20,"20-24 ",HOUR(D353)&gt;=16,"16-20",HOUR(D353)&gt;=12,"12-16",HOUR(D353)&lt;12,"7-12")</f>
        <v>16-20</v>
      </c>
      <c r="F353" s="6" t="s">
        <v>21</v>
      </c>
      <c r="G353" s="6" t="s">
        <v>463</v>
      </c>
      <c r="H353" s="6">
        <v>39</v>
      </c>
      <c r="I353" s="6" t="s">
        <v>7</v>
      </c>
    </row>
    <row r="354" spans="1:9" x14ac:dyDescent="0.35">
      <c r="A354" s="34">
        <v>45404</v>
      </c>
      <c r="B354" s="34" t="str">
        <f t="shared" si="11"/>
        <v>April</v>
      </c>
      <c r="C354" s="4" t="str">
        <f t="shared" si="10"/>
        <v>Monday</v>
      </c>
      <c r="D354" s="5">
        <v>45404.81880508102</v>
      </c>
      <c r="E354" s="6" t="str" cm="1">
        <f t="array" ref="E354">_xlfn.IFS(HOUR(D354)&gt;=20,"20-24 ",HOUR(D354)&gt;=16,"16-20",HOUR(D354)&gt;=12,"12-16",HOUR(D354)&lt;12,"7-12")</f>
        <v>16-20</v>
      </c>
      <c r="F354" s="6" t="s">
        <v>3</v>
      </c>
      <c r="G354" s="6" t="s">
        <v>19</v>
      </c>
      <c r="H354" s="6">
        <v>37.72</v>
      </c>
      <c r="I354" s="6" t="s">
        <v>7</v>
      </c>
    </row>
    <row r="355" spans="1:9" x14ac:dyDescent="0.35">
      <c r="A355" s="34">
        <v>45404</v>
      </c>
      <c r="B355" s="34" t="str">
        <f t="shared" si="11"/>
        <v>April</v>
      </c>
      <c r="C355" s="4" t="str">
        <f t="shared" si="10"/>
        <v>Monday</v>
      </c>
      <c r="D355" s="5">
        <v>45404.835059780089</v>
      </c>
      <c r="E355" s="6" t="str" cm="1">
        <f t="array" ref="E355">_xlfn.IFS(HOUR(D355)&gt;=20,"20-24 ",HOUR(D355)&gt;=16,"16-20",HOUR(D355)&gt;=12,"12-16",HOUR(D355)&lt;12,"7-12")</f>
        <v xml:space="preserve">20-24 </v>
      </c>
      <c r="F355" s="6" t="s">
        <v>21</v>
      </c>
      <c r="G355" s="6" t="s">
        <v>463</v>
      </c>
      <c r="H355" s="6">
        <v>39</v>
      </c>
      <c r="I355" s="6" t="s">
        <v>43</v>
      </c>
    </row>
    <row r="356" spans="1:9" x14ac:dyDescent="0.35">
      <c r="A356" s="34">
        <v>45405</v>
      </c>
      <c r="B356" s="34" t="str">
        <f t="shared" si="11"/>
        <v>April</v>
      </c>
      <c r="C356" s="4" t="str">
        <f t="shared" si="10"/>
        <v>Tuesday</v>
      </c>
      <c r="D356" s="5">
        <v>45405.599027719909</v>
      </c>
      <c r="E356" s="6" t="str" cm="1">
        <f t="array" ref="E356">_xlfn.IFS(HOUR(D356)&gt;=20,"20-24 ",HOUR(D356)&gt;=16,"16-20",HOUR(D356)&gt;=12,"12-16",HOUR(D356)&lt;12,"7-12")</f>
        <v>12-16</v>
      </c>
      <c r="F356" s="6" t="s">
        <v>3</v>
      </c>
      <c r="G356" s="6" t="s">
        <v>38</v>
      </c>
      <c r="H356" s="6">
        <v>37.72</v>
      </c>
      <c r="I356" s="6" t="s">
        <v>43</v>
      </c>
    </row>
    <row r="357" spans="1:9" x14ac:dyDescent="0.35">
      <c r="A357" s="34">
        <v>45405</v>
      </c>
      <c r="B357" s="34" t="str">
        <f t="shared" si="11"/>
        <v>April</v>
      </c>
      <c r="C357" s="4" t="str">
        <f t="shared" si="10"/>
        <v>Tuesday</v>
      </c>
      <c r="D357" s="5">
        <v>45405.59992064815</v>
      </c>
      <c r="E357" s="6" t="str" cm="1">
        <f t="array" ref="E357">_xlfn.IFS(HOUR(D357)&gt;=20,"20-24 ",HOUR(D357)&gt;=16,"16-20",HOUR(D357)&gt;=12,"12-16",HOUR(D357)&lt;12,"7-12")</f>
        <v>12-16</v>
      </c>
      <c r="F357" s="6" t="s">
        <v>3</v>
      </c>
      <c r="G357" s="6" t="s">
        <v>37</v>
      </c>
      <c r="H357" s="6">
        <v>32.82</v>
      </c>
      <c r="I357" s="6" t="s">
        <v>14</v>
      </c>
    </row>
    <row r="358" spans="1:9" x14ac:dyDescent="0.35">
      <c r="A358" s="34">
        <v>45405</v>
      </c>
      <c r="B358" s="34" t="str">
        <f t="shared" si="11"/>
        <v>April</v>
      </c>
      <c r="C358" s="4" t="str">
        <f t="shared" si="10"/>
        <v>Tuesday</v>
      </c>
      <c r="D358" s="5">
        <v>45405.600665682869</v>
      </c>
      <c r="E358" s="6" t="str" cm="1">
        <f t="array" ref="E358">_xlfn.IFS(HOUR(D358)&gt;=20,"20-24 ",HOUR(D358)&gt;=16,"16-20",HOUR(D358)&gt;=12,"12-16",HOUR(D358)&lt;12,"7-12")</f>
        <v>12-16</v>
      </c>
      <c r="F358" s="6" t="s">
        <v>3</v>
      </c>
      <c r="G358" s="6" t="s">
        <v>19</v>
      </c>
      <c r="H358" s="6">
        <v>37.72</v>
      </c>
      <c r="I358" s="6" t="s">
        <v>43</v>
      </c>
    </row>
    <row r="359" spans="1:9" x14ac:dyDescent="0.35">
      <c r="A359" s="34">
        <v>45405</v>
      </c>
      <c r="B359" s="34" t="str">
        <f t="shared" si="11"/>
        <v>April</v>
      </c>
      <c r="C359" s="4" t="str">
        <f t="shared" si="10"/>
        <v>Tuesday</v>
      </c>
      <c r="D359" s="5">
        <v>45405.821154687503</v>
      </c>
      <c r="E359" s="6" t="str" cm="1">
        <f t="array" ref="E359">_xlfn.IFS(HOUR(D359)&gt;=20,"20-24 ",HOUR(D359)&gt;=16,"16-20",HOUR(D359)&gt;=12,"12-16",HOUR(D359)&lt;12,"7-12")</f>
        <v>16-20</v>
      </c>
      <c r="F359" s="6" t="s">
        <v>3</v>
      </c>
      <c r="G359" s="6" t="s">
        <v>144</v>
      </c>
      <c r="H359" s="6">
        <v>32.82</v>
      </c>
      <c r="I359" s="6" t="s">
        <v>14</v>
      </c>
    </row>
    <row r="360" spans="1:9" x14ac:dyDescent="0.35">
      <c r="A360" s="34">
        <v>45405</v>
      </c>
      <c r="B360" s="34" t="str">
        <f t="shared" si="11"/>
        <v>April</v>
      </c>
      <c r="C360" s="4" t="str">
        <f t="shared" si="10"/>
        <v>Tuesday</v>
      </c>
      <c r="D360" s="5">
        <v>45405.821831412039</v>
      </c>
      <c r="E360" s="6" t="str" cm="1">
        <f t="array" ref="E360">_xlfn.IFS(HOUR(D360)&gt;=20,"20-24 ",HOUR(D360)&gt;=16,"16-20",HOUR(D360)&gt;=12,"12-16",HOUR(D360)&lt;12,"7-12")</f>
        <v>16-20</v>
      </c>
      <c r="F360" s="6" t="s">
        <v>3</v>
      </c>
      <c r="G360" s="6" t="s">
        <v>144</v>
      </c>
      <c r="H360" s="6">
        <v>32.82</v>
      </c>
      <c r="I360" s="6" t="s">
        <v>14</v>
      </c>
    </row>
    <row r="361" spans="1:9" x14ac:dyDescent="0.35">
      <c r="A361" s="34">
        <v>45406</v>
      </c>
      <c r="B361" s="34" t="str">
        <f t="shared" si="11"/>
        <v>April</v>
      </c>
      <c r="C361" s="4" t="str">
        <f t="shared" si="10"/>
        <v>Wednesday</v>
      </c>
      <c r="D361" s="5">
        <v>45406.430304930553</v>
      </c>
      <c r="E361" s="6" t="str" cm="1">
        <f t="array" ref="E361">_xlfn.IFS(HOUR(D361)&gt;=20,"20-24 ",HOUR(D361)&gt;=16,"16-20",HOUR(D361)&gt;=12,"12-16",HOUR(D361)&lt;12,"7-12")</f>
        <v>7-12</v>
      </c>
      <c r="F361" s="6" t="s">
        <v>3</v>
      </c>
      <c r="G361" s="6" t="s">
        <v>6</v>
      </c>
      <c r="H361" s="6">
        <v>37.72</v>
      </c>
      <c r="I361" s="6" t="s">
        <v>7</v>
      </c>
    </row>
    <row r="362" spans="1:9" x14ac:dyDescent="0.35">
      <c r="A362" s="34">
        <v>45406</v>
      </c>
      <c r="B362" s="34" t="str">
        <f t="shared" si="11"/>
        <v>April</v>
      </c>
      <c r="C362" s="4" t="str">
        <f t="shared" si="10"/>
        <v>Wednesday</v>
      </c>
      <c r="D362" s="5">
        <v>45406.43156582176</v>
      </c>
      <c r="E362" s="6" t="str" cm="1">
        <f t="array" ref="E362">_xlfn.IFS(HOUR(D362)&gt;=20,"20-24 ",HOUR(D362)&gt;=16,"16-20",HOUR(D362)&gt;=12,"12-16",HOUR(D362)&lt;12,"7-12")</f>
        <v>7-12</v>
      </c>
      <c r="F362" s="6" t="s">
        <v>3</v>
      </c>
      <c r="G362" s="6" t="s">
        <v>145</v>
      </c>
      <c r="H362" s="6">
        <v>32.82</v>
      </c>
      <c r="I362" s="6" t="s">
        <v>14</v>
      </c>
    </row>
    <row r="363" spans="1:9" x14ac:dyDescent="0.35">
      <c r="A363" s="34">
        <v>45406</v>
      </c>
      <c r="B363" s="34" t="str">
        <f t="shared" si="11"/>
        <v>April</v>
      </c>
      <c r="C363" s="4" t="str">
        <f t="shared" si="10"/>
        <v>Wednesday</v>
      </c>
      <c r="D363" s="5">
        <v>45406.474839143521</v>
      </c>
      <c r="E363" s="6" t="str" cm="1">
        <f t="array" ref="E363">_xlfn.IFS(HOUR(D363)&gt;=20,"20-24 ",HOUR(D363)&gt;=16,"16-20",HOUR(D363)&gt;=12,"12-16",HOUR(D363)&lt;12,"7-12")</f>
        <v>7-12</v>
      </c>
      <c r="F363" s="6" t="s">
        <v>3</v>
      </c>
      <c r="G363" s="6" t="s">
        <v>146</v>
      </c>
      <c r="H363" s="6">
        <v>32.82</v>
      </c>
      <c r="I363" s="6" t="s">
        <v>14</v>
      </c>
    </row>
    <row r="364" spans="1:9" x14ac:dyDescent="0.35">
      <c r="A364" s="34">
        <v>45406</v>
      </c>
      <c r="B364" s="34" t="str">
        <f t="shared" si="11"/>
        <v>April</v>
      </c>
      <c r="C364" s="4" t="str">
        <f t="shared" si="10"/>
        <v>Wednesday</v>
      </c>
      <c r="D364" s="5">
        <v>45406.481554942133</v>
      </c>
      <c r="E364" s="6" t="str" cm="1">
        <f t="array" ref="E364">_xlfn.IFS(HOUR(D364)&gt;=20,"20-24 ",HOUR(D364)&gt;=16,"16-20",HOUR(D364)&gt;=12,"12-16",HOUR(D364)&lt;12,"7-12")</f>
        <v>7-12</v>
      </c>
      <c r="F364" s="6" t="s">
        <v>3</v>
      </c>
      <c r="G364" s="6" t="s">
        <v>147</v>
      </c>
      <c r="H364" s="6">
        <v>32.82</v>
      </c>
      <c r="I364" s="6" t="s">
        <v>14</v>
      </c>
    </row>
    <row r="365" spans="1:9" x14ac:dyDescent="0.35">
      <c r="A365" s="34">
        <v>45406</v>
      </c>
      <c r="B365" s="34" t="str">
        <f t="shared" si="11"/>
        <v>April</v>
      </c>
      <c r="C365" s="4" t="str">
        <f t="shared" si="10"/>
        <v>Wednesday</v>
      </c>
      <c r="D365" s="5">
        <v>45406.527190949077</v>
      </c>
      <c r="E365" s="6" t="str" cm="1">
        <f t="array" ref="E365">_xlfn.IFS(HOUR(D365)&gt;=20,"20-24 ",HOUR(D365)&gt;=16,"16-20",HOUR(D365)&gt;=12,"12-16",HOUR(D365)&lt;12,"7-12")</f>
        <v>12-16</v>
      </c>
      <c r="F365" s="6" t="s">
        <v>3</v>
      </c>
      <c r="G365" s="6" t="s">
        <v>73</v>
      </c>
      <c r="H365" s="6">
        <v>32.82</v>
      </c>
      <c r="I365" s="6" t="s">
        <v>14</v>
      </c>
    </row>
    <row r="366" spans="1:9" x14ac:dyDescent="0.35">
      <c r="A366" s="34">
        <v>45406</v>
      </c>
      <c r="B366" s="34" t="str">
        <f t="shared" si="11"/>
        <v>April</v>
      </c>
      <c r="C366" s="4" t="str">
        <f t="shared" si="10"/>
        <v>Wednesday</v>
      </c>
      <c r="D366" s="5">
        <v>45406.693835914353</v>
      </c>
      <c r="E366" s="6" t="str" cm="1">
        <f t="array" ref="E366">_xlfn.IFS(HOUR(D366)&gt;=20,"20-24 ",HOUR(D366)&gt;=16,"16-20",HOUR(D366)&gt;=12,"12-16",HOUR(D366)&lt;12,"7-12")</f>
        <v>16-20</v>
      </c>
      <c r="F366" s="6" t="s">
        <v>3</v>
      </c>
      <c r="G366" s="6" t="s">
        <v>19</v>
      </c>
      <c r="H366" s="6">
        <v>32.82</v>
      </c>
      <c r="I366" s="6" t="s">
        <v>14</v>
      </c>
    </row>
    <row r="367" spans="1:9" x14ac:dyDescent="0.35">
      <c r="A367" s="34">
        <v>45406</v>
      </c>
      <c r="B367" s="34" t="str">
        <f t="shared" si="11"/>
        <v>April</v>
      </c>
      <c r="C367" s="4" t="str">
        <f t="shared" si="10"/>
        <v>Wednesday</v>
      </c>
      <c r="D367" s="5">
        <v>45406.819328506943</v>
      </c>
      <c r="E367" s="6" t="str" cm="1">
        <f t="array" ref="E367">_xlfn.IFS(HOUR(D367)&gt;=20,"20-24 ",HOUR(D367)&gt;=16,"16-20",HOUR(D367)&gt;=12,"12-16",HOUR(D367)&lt;12,"7-12")</f>
        <v>16-20</v>
      </c>
      <c r="F367" s="6" t="s">
        <v>3</v>
      </c>
      <c r="G367" s="6" t="s">
        <v>148</v>
      </c>
      <c r="H367" s="6">
        <v>32.82</v>
      </c>
      <c r="I367" s="6" t="s">
        <v>14</v>
      </c>
    </row>
    <row r="368" spans="1:9" x14ac:dyDescent="0.35">
      <c r="A368" s="34">
        <v>45406</v>
      </c>
      <c r="B368" s="34" t="str">
        <f t="shared" si="11"/>
        <v>April</v>
      </c>
      <c r="C368" s="4" t="str">
        <f t="shared" si="10"/>
        <v>Wednesday</v>
      </c>
      <c r="D368" s="5">
        <v>45406.820069803238</v>
      </c>
      <c r="E368" s="6" t="str" cm="1">
        <f t="array" ref="E368">_xlfn.IFS(HOUR(D368)&gt;=20,"20-24 ",HOUR(D368)&gt;=16,"16-20",HOUR(D368)&gt;=12,"12-16",HOUR(D368)&lt;12,"7-12")</f>
        <v>16-20</v>
      </c>
      <c r="F368" s="6" t="s">
        <v>3</v>
      </c>
      <c r="G368" s="6" t="s">
        <v>148</v>
      </c>
      <c r="H368" s="6">
        <v>37.72</v>
      </c>
      <c r="I368" s="6" t="s">
        <v>43</v>
      </c>
    </row>
    <row r="369" spans="1:9" x14ac:dyDescent="0.35">
      <c r="A369" s="34">
        <v>45407</v>
      </c>
      <c r="B369" s="34" t="str">
        <f t="shared" si="11"/>
        <v>April</v>
      </c>
      <c r="C369" s="4" t="str">
        <f t="shared" si="10"/>
        <v>Thursday</v>
      </c>
      <c r="D369" s="5">
        <v>45407.448704363429</v>
      </c>
      <c r="E369" s="6" t="str" cm="1">
        <f t="array" ref="E369">_xlfn.IFS(HOUR(D369)&gt;=20,"20-24 ",HOUR(D369)&gt;=16,"16-20",HOUR(D369)&gt;=12,"12-16",HOUR(D369)&lt;12,"7-12")</f>
        <v>7-12</v>
      </c>
      <c r="F369" s="6" t="s">
        <v>3</v>
      </c>
      <c r="G369" s="6" t="s">
        <v>149</v>
      </c>
      <c r="H369" s="6">
        <v>27.92</v>
      </c>
      <c r="I369" s="6" t="s">
        <v>11</v>
      </c>
    </row>
    <row r="370" spans="1:9" x14ac:dyDescent="0.35">
      <c r="A370" s="34">
        <v>45407</v>
      </c>
      <c r="B370" s="34" t="str">
        <f t="shared" si="11"/>
        <v>April</v>
      </c>
      <c r="C370" s="4" t="str">
        <f t="shared" si="10"/>
        <v>Thursday</v>
      </c>
      <c r="D370" s="5">
        <v>45407.63781216435</v>
      </c>
      <c r="E370" s="6" t="str" cm="1">
        <f t="array" ref="E370">_xlfn.IFS(HOUR(D370)&gt;=20,"20-24 ",HOUR(D370)&gt;=16,"16-20",HOUR(D370)&gt;=12,"12-16",HOUR(D370)&lt;12,"7-12")</f>
        <v>12-16</v>
      </c>
      <c r="F370" s="6" t="s">
        <v>3</v>
      </c>
      <c r="G370" s="6" t="s">
        <v>19</v>
      </c>
      <c r="H370" s="6">
        <v>37.72</v>
      </c>
      <c r="I370" s="6" t="s">
        <v>7</v>
      </c>
    </row>
    <row r="371" spans="1:9" x14ac:dyDescent="0.35">
      <c r="A371" s="34">
        <v>45407</v>
      </c>
      <c r="B371" s="34" t="str">
        <f t="shared" si="11"/>
        <v>April</v>
      </c>
      <c r="C371" s="4" t="str">
        <f t="shared" si="10"/>
        <v>Thursday</v>
      </c>
      <c r="D371" s="5">
        <v>45407.715087199074</v>
      </c>
      <c r="E371" s="6" t="str" cm="1">
        <f t="array" ref="E371">_xlfn.IFS(HOUR(D371)&gt;=20,"20-24 ",HOUR(D371)&gt;=16,"16-20",HOUR(D371)&gt;=12,"12-16",HOUR(D371)&lt;12,"7-12")</f>
        <v>16-20</v>
      </c>
      <c r="F371" s="6" t="s">
        <v>3</v>
      </c>
      <c r="G371" s="6" t="s">
        <v>23</v>
      </c>
      <c r="H371" s="6">
        <v>27.92</v>
      </c>
      <c r="I371" s="6" t="s">
        <v>11</v>
      </c>
    </row>
    <row r="372" spans="1:9" x14ac:dyDescent="0.35">
      <c r="A372" s="34">
        <v>45407</v>
      </c>
      <c r="B372" s="34" t="str">
        <f t="shared" si="11"/>
        <v>April</v>
      </c>
      <c r="C372" s="4" t="str">
        <f t="shared" si="10"/>
        <v>Thursday</v>
      </c>
      <c r="D372" s="5">
        <v>45407.715846678242</v>
      </c>
      <c r="E372" s="6" t="str" cm="1">
        <f t="array" ref="E372">_xlfn.IFS(HOUR(D372)&gt;=20,"20-24 ",HOUR(D372)&gt;=16,"16-20",HOUR(D372)&gt;=12,"12-16",HOUR(D372)&lt;12,"7-12")</f>
        <v>16-20</v>
      </c>
      <c r="F372" s="6" t="s">
        <v>3</v>
      </c>
      <c r="G372" s="6" t="s">
        <v>23</v>
      </c>
      <c r="H372" s="6">
        <v>27.92</v>
      </c>
      <c r="I372" s="6" t="s">
        <v>11</v>
      </c>
    </row>
    <row r="373" spans="1:9" x14ac:dyDescent="0.35">
      <c r="A373" s="34">
        <v>45408</v>
      </c>
      <c r="B373" s="34" t="str">
        <f t="shared" si="11"/>
        <v>April</v>
      </c>
      <c r="C373" s="4" t="str">
        <f t="shared" si="10"/>
        <v>Friday</v>
      </c>
      <c r="D373" s="5">
        <v>45408.425585856479</v>
      </c>
      <c r="E373" s="6" t="str" cm="1">
        <f t="array" ref="E373">_xlfn.IFS(HOUR(D373)&gt;=20,"20-24 ",HOUR(D373)&gt;=16,"16-20",HOUR(D373)&gt;=12,"12-16",HOUR(D373)&lt;12,"7-12")</f>
        <v>7-12</v>
      </c>
      <c r="F373" s="6" t="s">
        <v>3</v>
      </c>
      <c r="G373" s="6" t="s">
        <v>6</v>
      </c>
      <c r="H373" s="6">
        <v>37.72</v>
      </c>
      <c r="I373" s="6" t="s">
        <v>7</v>
      </c>
    </row>
    <row r="374" spans="1:9" x14ac:dyDescent="0.35">
      <c r="A374" s="34">
        <v>45408</v>
      </c>
      <c r="B374" s="34" t="str">
        <f t="shared" si="11"/>
        <v>April</v>
      </c>
      <c r="C374" s="4" t="str">
        <f t="shared" si="10"/>
        <v>Friday</v>
      </c>
      <c r="D374" s="5">
        <v>45408.501048379629</v>
      </c>
      <c r="E374" s="6" t="str" cm="1">
        <f t="array" ref="E374">_xlfn.IFS(HOUR(D374)&gt;=20,"20-24 ",HOUR(D374)&gt;=16,"16-20",HOUR(D374)&gt;=12,"12-16",HOUR(D374)&lt;12,"7-12")</f>
        <v>12-16</v>
      </c>
      <c r="F374" s="6" t="s">
        <v>3</v>
      </c>
      <c r="G374" s="6" t="s">
        <v>150</v>
      </c>
      <c r="H374" s="6">
        <v>37.72</v>
      </c>
      <c r="I374" s="6" t="s">
        <v>7</v>
      </c>
    </row>
    <row r="375" spans="1:9" x14ac:dyDescent="0.35">
      <c r="A375" s="34">
        <v>45408</v>
      </c>
      <c r="B375" s="34" t="str">
        <f t="shared" si="11"/>
        <v>April</v>
      </c>
      <c r="C375" s="4" t="str">
        <f t="shared" si="10"/>
        <v>Friday</v>
      </c>
      <c r="D375" s="5">
        <v>45408.563521956021</v>
      </c>
      <c r="E375" s="6" t="str" cm="1">
        <f t="array" ref="E375">_xlfn.IFS(HOUR(D375)&gt;=20,"20-24 ",HOUR(D375)&gt;=16,"16-20",HOUR(D375)&gt;=12,"12-16",HOUR(D375)&lt;12,"7-12")</f>
        <v>12-16</v>
      </c>
      <c r="F375" s="6" t="s">
        <v>3</v>
      </c>
      <c r="G375" s="6" t="s">
        <v>151</v>
      </c>
      <c r="H375" s="6">
        <v>37.72</v>
      </c>
      <c r="I375" s="6" t="s">
        <v>43</v>
      </c>
    </row>
    <row r="376" spans="1:9" x14ac:dyDescent="0.35">
      <c r="A376" s="34">
        <v>45408</v>
      </c>
      <c r="B376" s="34" t="str">
        <f t="shared" si="11"/>
        <v>April</v>
      </c>
      <c r="C376" s="4" t="str">
        <f t="shared" si="10"/>
        <v>Friday</v>
      </c>
      <c r="D376" s="5">
        <v>45408.647631828702</v>
      </c>
      <c r="E376" s="6" t="str" cm="1">
        <f t="array" ref="E376">_xlfn.IFS(HOUR(D376)&gt;=20,"20-24 ",HOUR(D376)&gt;=16,"16-20",HOUR(D376)&gt;=12,"12-16",HOUR(D376)&lt;12,"7-12")</f>
        <v>12-16</v>
      </c>
      <c r="F376" s="6" t="s">
        <v>3</v>
      </c>
      <c r="G376" s="6" t="s">
        <v>23</v>
      </c>
      <c r="H376" s="6">
        <v>27.92</v>
      </c>
      <c r="I376" s="6" t="s">
        <v>11</v>
      </c>
    </row>
    <row r="377" spans="1:9" x14ac:dyDescent="0.35">
      <c r="A377" s="34">
        <v>45408</v>
      </c>
      <c r="B377" s="34" t="str">
        <f t="shared" si="11"/>
        <v>April</v>
      </c>
      <c r="C377" s="4" t="str">
        <f t="shared" si="10"/>
        <v>Friday</v>
      </c>
      <c r="D377" s="5">
        <v>45408.648300138891</v>
      </c>
      <c r="E377" s="6" t="str" cm="1">
        <f t="array" ref="E377">_xlfn.IFS(HOUR(D377)&gt;=20,"20-24 ",HOUR(D377)&gt;=16,"16-20",HOUR(D377)&gt;=12,"12-16",HOUR(D377)&lt;12,"7-12")</f>
        <v>12-16</v>
      </c>
      <c r="F377" s="6" t="s">
        <v>3</v>
      </c>
      <c r="G377" s="6" t="s">
        <v>23</v>
      </c>
      <c r="H377" s="6">
        <v>27.92</v>
      </c>
      <c r="I377" s="6" t="s">
        <v>11</v>
      </c>
    </row>
    <row r="378" spans="1:9" x14ac:dyDescent="0.35">
      <c r="A378" s="34">
        <v>45408</v>
      </c>
      <c r="B378" s="34" t="str">
        <f t="shared" si="11"/>
        <v>April</v>
      </c>
      <c r="C378" s="4" t="str">
        <f t="shared" si="10"/>
        <v>Friday</v>
      </c>
      <c r="D378" s="5">
        <v>45408.682945763889</v>
      </c>
      <c r="E378" s="6" t="str" cm="1">
        <f t="array" ref="E378">_xlfn.IFS(HOUR(D378)&gt;=20,"20-24 ",HOUR(D378)&gt;=16,"16-20",HOUR(D378)&gt;=12,"12-16",HOUR(D378)&lt;12,"7-12")</f>
        <v>16-20</v>
      </c>
      <c r="F378" s="6" t="s">
        <v>3</v>
      </c>
      <c r="G378" s="6" t="s">
        <v>152</v>
      </c>
      <c r="H378" s="6">
        <v>27.92</v>
      </c>
      <c r="I378" s="6" t="s">
        <v>28</v>
      </c>
    </row>
    <row r="379" spans="1:9" x14ac:dyDescent="0.35">
      <c r="A379" s="34">
        <v>45408</v>
      </c>
      <c r="B379" s="34" t="str">
        <f t="shared" si="11"/>
        <v>April</v>
      </c>
      <c r="C379" s="4" t="str">
        <f t="shared" si="10"/>
        <v>Friday</v>
      </c>
      <c r="D379" s="5">
        <v>45408.683724537033</v>
      </c>
      <c r="E379" s="6" t="str" cm="1">
        <f t="array" ref="E379">_xlfn.IFS(HOUR(D379)&gt;=20,"20-24 ",HOUR(D379)&gt;=16,"16-20",HOUR(D379)&gt;=12,"12-16",HOUR(D379)&lt;12,"7-12")</f>
        <v>16-20</v>
      </c>
      <c r="F379" s="6" t="s">
        <v>3</v>
      </c>
      <c r="G379" s="6" t="s">
        <v>153</v>
      </c>
      <c r="H379" s="6">
        <v>27.92</v>
      </c>
      <c r="I379" s="6" t="s">
        <v>11</v>
      </c>
    </row>
    <row r="380" spans="1:9" x14ac:dyDescent="0.35">
      <c r="A380" s="34">
        <v>45408</v>
      </c>
      <c r="B380" s="34" t="str">
        <f t="shared" si="11"/>
        <v>April</v>
      </c>
      <c r="C380" s="4" t="str">
        <f t="shared" si="10"/>
        <v>Friday</v>
      </c>
      <c r="D380" s="5">
        <v>45408.813971203701</v>
      </c>
      <c r="E380" s="6" t="str" cm="1">
        <f t="array" ref="E380">_xlfn.IFS(HOUR(D380)&gt;=20,"20-24 ",HOUR(D380)&gt;=16,"16-20",HOUR(D380)&gt;=12,"12-16",HOUR(D380)&lt;12,"7-12")</f>
        <v>16-20</v>
      </c>
      <c r="F380" s="6" t="s">
        <v>3</v>
      </c>
      <c r="G380" s="6" t="s">
        <v>19</v>
      </c>
      <c r="H380" s="6">
        <v>37.72</v>
      </c>
      <c r="I380" s="6" t="s">
        <v>9</v>
      </c>
    </row>
    <row r="381" spans="1:9" x14ac:dyDescent="0.35">
      <c r="A381" s="34">
        <v>45408</v>
      </c>
      <c r="B381" s="34" t="str">
        <f t="shared" si="11"/>
        <v>April</v>
      </c>
      <c r="C381" s="4" t="str">
        <f t="shared" si="10"/>
        <v>Friday</v>
      </c>
      <c r="D381" s="5">
        <v>45408.81493310185</v>
      </c>
      <c r="E381" s="6" t="str" cm="1">
        <f t="array" ref="E381">_xlfn.IFS(HOUR(D381)&gt;=20,"20-24 ",HOUR(D381)&gt;=16,"16-20",HOUR(D381)&gt;=12,"12-16",HOUR(D381)&lt;12,"7-12")</f>
        <v>16-20</v>
      </c>
      <c r="F381" s="6" t="s">
        <v>3</v>
      </c>
      <c r="G381" s="6" t="s">
        <v>19</v>
      </c>
      <c r="H381" s="6">
        <v>37.72</v>
      </c>
      <c r="I381" s="6" t="s">
        <v>18</v>
      </c>
    </row>
    <row r="382" spans="1:9" x14ac:dyDescent="0.35">
      <c r="A382" s="34">
        <v>45409</v>
      </c>
      <c r="B382" s="34" t="str">
        <f t="shared" si="11"/>
        <v>April</v>
      </c>
      <c r="C382" s="4" t="str">
        <f t="shared" si="10"/>
        <v>Saturday</v>
      </c>
      <c r="D382" s="5">
        <v>45409.64375787037</v>
      </c>
      <c r="E382" s="6" t="str" cm="1">
        <f t="array" ref="E382">_xlfn.IFS(HOUR(D382)&gt;=20,"20-24 ",HOUR(D382)&gt;=16,"16-20",HOUR(D382)&gt;=12,"12-16",HOUR(D382)&lt;12,"7-12")</f>
        <v>12-16</v>
      </c>
      <c r="F382" s="6" t="s">
        <v>3</v>
      </c>
      <c r="G382" s="6" t="s">
        <v>19</v>
      </c>
      <c r="H382" s="6">
        <v>37.72</v>
      </c>
      <c r="I382" s="6" t="s">
        <v>43</v>
      </c>
    </row>
    <row r="383" spans="1:9" x14ac:dyDescent="0.35">
      <c r="A383" s="34">
        <v>45410</v>
      </c>
      <c r="B383" s="34" t="str">
        <f t="shared" si="11"/>
        <v>April</v>
      </c>
      <c r="C383" s="4" t="str">
        <f t="shared" si="10"/>
        <v>Sunday</v>
      </c>
      <c r="D383" s="5">
        <v>45410.439496284722</v>
      </c>
      <c r="E383" s="6" t="str" cm="1">
        <f t="array" ref="E383">_xlfn.IFS(HOUR(D383)&gt;=20,"20-24 ",HOUR(D383)&gt;=16,"16-20",HOUR(D383)&gt;=12,"12-16",HOUR(D383)&lt;12,"7-12")</f>
        <v>7-12</v>
      </c>
      <c r="F383" s="6" t="s">
        <v>3</v>
      </c>
      <c r="G383" s="6" t="s">
        <v>6</v>
      </c>
      <c r="H383" s="6">
        <v>37.72</v>
      </c>
      <c r="I383" s="6" t="s">
        <v>7</v>
      </c>
    </row>
    <row r="384" spans="1:9" x14ac:dyDescent="0.35">
      <c r="A384" s="34">
        <v>45410</v>
      </c>
      <c r="B384" s="34" t="str">
        <f t="shared" si="11"/>
        <v>April</v>
      </c>
      <c r="C384" s="4" t="str">
        <f t="shared" si="10"/>
        <v>Sunday</v>
      </c>
      <c r="D384" s="5">
        <v>45410.520946168981</v>
      </c>
      <c r="E384" s="6" t="str" cm="1">
        <f t="array" ref="E384">_xlfn.IFS(HOUR(D384)&gt;=20,"20-24 ",HOUR(D384)&gt;=16,"16-20",HOUR(D384)&gt;=12,"12-16",HOUR(D384)&lt;12,"7-12")</f>
        <v>12-16</v>
      </c>
      <c r="F384" s="6" t="s">
        <v>3</v>
      </c>
      <c r="G384" s="6" t="s">
        <v>154</v>
      </c>
      <c r="H384" s="6">
        <v>37.72</v>
      </c>
      <c r="I384" s="6" t="s">
        <v>43</v>
      </c>
    </row>
    <row r="385" spans="1:9" x14ac:dyDescent="0.35">
      <c r="A385" s="34">
        <v>45410</v>
      </c>
      <c r="B385" s="34" t="str">
        <f t="shared" si="11"/>
        <v>April</v>
      </c>
      <c r="C385" s="4" t="str">
        <f t="shared" si="10"/>
        <v>Sunday</v>
      </c>
      <c r="D385" s="5">
        <v>45410.768845254628</v>
      </c>
      <c r="E385" s="6" t="str" cm="1">
        <f t="array" ref="E385">_xlfn.IFS(HOUR(D385)&gt;=20,"20-24 ",HOUR(D385)&gt;=16,"16-20",HOUR(D385)&gt;=12,"12-16",HOUR(D385)&lt;12,"7-12")</f>
        <v>16-20</v>
      </c>
      <c r="F385" s="6" t="s">
        <v>3</v>
      </c>
      <c r="G385" s="6" t="s">
        <v>23</v>
      </c>
      <c r="H385" s="6">
        <v>27.92</v>
      </c>
      <c r="I385" s="6" t="s">
        <v>11</v>
      </c>
    </row>
    <row r="386" spans="1:9" x14ac:dyDescent="0.35">
      <c r="A386" s="34">
        <v>45410</v>
      </c>
      <c r="B386" s="34" t="str">
        <f t="shared" si="11"/>
        <v>April</v>
      </c>
      <c r="C386" s="4" t="str">
        <f t="shared" ref="C386:C449" si="12">TEXT(A386,"ddddddddd")</f>
        <v>Sunday</v>
      </c>
      <c r="D386" s="5">
        <v>45410.769576516206</v>
      </c>
      <c r="E386" s="6" t="str" cm="1">
        <f t="array" ref="E386">_xlfn.IFS(HOUR(D386)&gt;=20,"20-24 ",HOUR(D386)&gt;=16,"16-20",HOUR(D386)&gt;=12,"12-16",HOUR(D386)&lt;12,"7-12")</f>
        <v>16-20</v>
      </c>
      <c r="F386" s="6" t="s">
        <v>3</v>
      </c>
      <c r="G386" s="6" t="s">
        <v>23</v>
      </c>
      <c r="H386" s="6">
        <v>27.92</v>
      </c>
      <c r="I386" s="6" t="s">
        <v>11</v>
      </c>
    </row>
    <row r="387" spans="1:9" x14ac:dyDescent="0.35">
      <c r="A387" s="34">
        <v>45410</v>
      </c>
      <c r="B387" s="34" t="str">
        <f t="shared" ref="B387:B450" si="13">TEXT(A387, "mmmm")</f>
        <v>April</v>
      </c>
      <c r="C387" s="4" t="str">
        <f t="shared" si="12"/>
        <v>Sunday</v>
      </c>
      <c r="D387" s="5">
        <v>45410.770166365743</v>
      </c>
      <c r="E387" s="6" t="str" cm="1">
        <f t="array" ref="E387">_xlfn.IFS(HOUR(D387)&gt;=20,"20-24 ",HOUR(D387)&gt;=16,"16-20",HOUR(D387)&gt;=12,"12-16",HOUR(D387)&lt;12,"7-12")</f>
        <v>16-20</v>
      </c>
      <c r="F387" s="6" t="s">
        <v>3</v>
      </c>
      <c r="G387" s="6" t="s">
        <v>31</v>
      </c>
      <c r="H387" s="6">
        <v>37.72</v>
      </c>
      <c r="I387" s="6" t="s">
        <v>7</v>
      </c>
    </row>
    <row r="388" spans="1:9" x14ac:dyDescent="0.35">
      <c r="A388" s="34">
        <v>45411</v>
      </c>
      <c r="B388" s="34" t="str">
        <f t="shared" si="13"/>
        <v>April</v>
      </c>
      <c r="C388" s="4" t="str">
        <f t="shared" si="12"/>
        <v>Monday</v>
      </c>
      <c r="D388" s="5">
        <v>45411.476757766206</v>
      </c>
      <c r="E388" s="6" t="str" cm="1">
        <f t="array" ref="E388">_xlfn.IFS(HOUR(D388)&gt;=20,"20-24 ",HOUR(D388)&gt;=16,"16-20",HOUR(D388)&gt;=12,"12-16",HOUR(D388)&lt;12,"7-12")</f>
        <v>7-12</v>
      </c>
      <c r="F388" s="6" t="s">
        <v>3</v>
      </c>
      <c r="G388" s="6" t="s">
        <v>155</v>
      </c>
      <c r="H388" s="6">
        <v>27.92</v>
      </c>
      <c r="I388" s="6" t="s">
        <v>28</v>
      </c>
    </row>
    <row r="389" spans="1:9" x14ac:dyDescent="0.35">
      <c r="A389" s="34">
        <v>45411</v>
      </c>
      <c r="B389" s="34" t="str">
        <f t="shared" si="13"/>
        <v>April</v>
      </c>
      <c r="C389" s="4" t="str">
        <f t="shared" si="12"/>
        <v>Monday</v>
      </c>
      <c r="D389" s="5">
        <v>45411.561075798614</v>
      </c>
      <c r="E389" s="6" t="str" cm="1">
        <f t="array" ref="E389">_xlfn.IFS(HOUR(D389)&gt;=20,"20-24 ",HOUR(D389)&gt;=16,"16-20",HOUR(D389)&gt;=12,"12-16",HOUR(D389)&lt;12,"7-12")</f>
        <v>12-16</v>
      </c>
      <c r="F389" s="6" t="s">
        <v>3</v>
      </c>
      <c r="G389" s="6" t="s">
        <v>10</v>
      </c>
      <c r="H389" s="6">
        <v>27.92</v>
      </c>
      <c r="I389" s="6" t="s">
        <v>11</v>
      </c>
    </row>
    <row r="390" spans="1:9" x14ac:dyDescent="0.35">
      <c r="A390" s="34">
        <v>45411</v>
      </c>
      <c r="B390" s="34" t="str">
        <f t="shared" si="13"/>
        <v>April</v>
      </c>
      <c r="C390" s="4" t="str">
        <f t="shared" si="12"/>
        <v>Monday</v>
      </c>
      <c r="D390" s="5">
        <v>45411.56173494213</v>
      </c>
      <c r="E390" s="6" t="str" cm="1">
        <f t="array" ref="E390">_xlfn.IFS(HOUR(D390)&gt;=20,"20-24 ",HOUR(D390)&gt;=16,"16-20",HOUR(D390)&gt;=12,"12-16",HOUR(D390)&lt;12,"7-12")</f>
        <v>12-16</v>
      </c>
      <c r="F390" s="6" t="s">
        <v>3</v>
      </c>
      <c r="G390" s="6" t="s">
        <v>10</v>
      </c>
      <c r="H390" s="6">
        <v>27.92</v>
      </c>
      <c r="I390" s="6" t="s">
        <v>28</v>
      </c>
    </row>
    <row r="391" spans="1:9" x14ac:dyDescent="0.35">
      <c r="A391" s="34">
        <v>45411</v>
      </c>
      <c r="B391" s="34" t="str">
        <f t="shared" si="13"/>
        <v>April</v>
      </c>
      <c r="C391" s="4" t="str">
        <f t="shared" si="12"/>
        <v>Monday</v>
      </c>
      <c r="D391" s="5">
        <v>45411.578885763891</v>
      </c>
      <c r="E391" s="6" t="str" cm="1">
        <f t="array" ref="E391">_xlfn.IFS(HOUR(D391)&gt;=20,"20-24 ",HOUR(D391)&gt;=16,"16-20",HOUR(D391)&gt;=12,"12-16",HOUR(D391)&lt;12,"7-12")</f>
        <v>12-16</v>
      </c>
      <c r="F391" s="6" t="s">
        <v>3</v>
      </c>
      <c r="G391" s="6" t="s">
        <v>155</v>
      </c>
      <c r="H391" s="6">
        <v>27.92</v>
      </c>
      <c r="I391" s="6" t="s">
        <v>28</v>
      </c>
    </row>
    <row r="392" spans="1:9" x14ac:dyDescent="0.35">
      <c r="A392" s="34">
        <v>45411</v>
      </c>
      <c r="B392" s="34" t="str">
        <f t="shared" si="13"/>
        <v>April</v>
      </c>
      <c r="C392" s="4" t="str">
        <f t="shared" si="12"/>
        <v>Monday</v>
      </c>
      <c r="D392" s="5">
        <v>45411.579448576391</v>
      </c>
      <c r="E392" s="6" t="str" cm="1">
        <f t="array" ref="E392">_xlfn.IFS(HOUR(D392)&gt;=20,"20-24 ",HOUR(D392)&gt;=16,"16-20",HOUR(D392)&gt;=12,"12-16",HOUR(D392)&lt;12,"7-12")</f>
        <v>12-16</v>
      </c>
      <c r="F392" s="6" t="s">
        <v>3</v>
      </c>
      <c r="G392" s="6" t="s">
        <v>155</v>
      </c>
      <c r="H392" s="6">
        <v>32.82</v>
      </c>
      <c r="I392" s="6" t="s">
        <v>14</v>
      </c>
    </row>
    <row r="393" spans="1:9" x14ac:dyDescent="0.35">
      <c r="A393" s="34">
        <v>45411</v>
      </c>
      <c r="B393" s="34" t="str">
        <f t="shared" si="13"/>
        <v>April</v>
      </c>
      <c r="C393" s="4" t="str">
        <f t="shared" si="12"/>
        <v>Monday</v>
      </c>
      <c r="D393" s="5">
        <v>45411.776254699071</v>
      </c>
      <c r="E393" s="6" t="str" cm="1">
        <f t="array" ref="E393">_xlfn.IFS(HOUR(D393)&gt;=20,"20-24 ",HOUR(D393)&gt;=16,"16-20",HOUR(D393)&gt;=12,"12-16",HOUR(D393)&lt;12,"7-12")</f>
        <v>16-20</v>
      </c>
      <c r="F393" s="6" t="s">
        <v>3</v>
      </c>
      <c r="G393" s="6" t="s">
        <v>154</v>
      </c>
      <c r="H393" s="6">
        <v>37.72</v>
      </c>
      <c r="I393" s="6" t="s">
        <v>43</v>
      </c>
    </row>
    <row r="394" spans="1:9" x14ac:dyDescent="0.35">
      <c r="A394" s="34">
        <v>45411</v>
      </c>
      <c r="B394" s="34" t="str">
        <f t="shared" si="13"/>
        <v>April</v>
      </c>
      <c r="C394" s="4" t="str">
        <f t="shared" si="12"/>
        <v>Monday</v>
      </c>
      <c r="D394" s="5">
        <v>45411.800384189817</v>
      </c>
      <c r="E394" s="6" t="str" cm="1">
        <f t="array" ref="E394">_xlfn.IFS(HOUR(D394)&gt;=20,"20-24 ",HOUR(D394)&gt;=16,"16-20",HOUR(D394)&gt;=12,"12-16",HOUR(D394)&lt;12,"7-12")</f>
        <v>16-20</v>
      </c>
      <c r="F394" s="6" t="s">
        <v>3</v>
      </c>
      <c r="G394" s="6" t="s">
        <v>148</v>
      </c>
      <c r="H394" s="6">
        <v>37.72</v>
      </c>
      <c r="I394" s="6" t="s">
        <v>43</v>
      </c>
    </row>
    <row r="395" spans="1:9" x14ac:dyDescent="0.35">
      <c r="A395" s="34">
        <v>45411</v>
      </c>
      <c r="B395" s="34" t="str">
        <f t="shared" si="13"/>
        <v>April</v>
      </c>
      <c r="C395" s="4" t="str">
        <f t="shared" si="12"/>
        <v>Monday</v>
      </c>
      <c r="D395" s="5">
        <v>45411.80113284722</v>
      </c>
      <c r="E395" s="6" t="str" cm="1">
        <f t="array" ref="E395">_xlfn.IFS(HOUR(D395)&gt;=20,"20-24 ",HOUR(D395)&gt;=16,"16-20",HOUR(D395)&gt;=12,"12-16",HOUR(D395)&lt;12,"7-12")</f>
        <v>16-20</v>
      </c>
      <c r="F395" s="6" t="s">
        <v>3</v>
      </c>
      <c r="G395" s="6" t="s">
        <v>148</v>
      </c>
      <c r="H395" s="6">
        <v>37.72</v>
      </c>
      <c r="I395" s="6" t="s">
        <v>43</v>
      </c>
    </row>
    <row r="396" spans="1:9" x14ac:dyDescent="0.35">
      <c r="A396" s="34">
        <v>45412</v>
      </c>
      <c r="B396" s="34" t="str">
        <f t="shared" si="13"/>
        <v>April</v>
      </c>
      <c r="C396" s="4" t="str">
        <f t="shared" si="12"/>
        <v>Tuesday</v>
      </c>
      <c r="D396" s="5">
        <v>45412.428258020831</v>
      </c>
      <c r="E396" s="6" t="str" cm="1">
        <f t="array" ref="E396">_xlfn.IFS(HOUR(D396)&gt;=20,"20-24 ",HOUR(D396)&gt;=16,"16-20",HOUR(D396)&gt;=12,"12-16",HOUR(D396)&lt;12,"7-12")</f>
        <v>7-12</v>
      </c>
      <c r="F396" s="6" t="s">
        <v>3</v>
      </c>
      <c r="G396" s="6" t="s">
        <v>156</v>
      </c>
      <c r="H396" s="6">
        <v>37.72</v>
      </c>
      <c r="I396" s="6" t="s">
        <v>7</v>
      </c>
    </row>
    <row r="397" spans="1:9" x14ac:dyDescent="0.35">
      <c r="A397" s="34">
        <v>45412</v>
      </c>
      <c r="B397" s="34" t="str">
        <f t="shared" si="13"/>
        <v>April</v>
      </c>
      <c r="C397" s="4" t="str">
        <f t="shared" si="12"/>
        <v>Tuesday</v>
      </c>
      <c r="D397" s="5">
        <v>45412.440882523151</v>
      </c>
      <c r="E397" s="6" t="str" cm="1">
        <f t="array" ref="E397">_xlfn.IFS(HOUR(D397)&gt;=20,"20-24 ",HOUR(D397)&gt;=16,"16-20",HOUR(D397)&gt;=12,"12-16",HOUR(D397)&lt;12,"7-12")</f>
        <v>7-12</v>
      </c>
      <c r="F397" s="6" t="s">
        <v>3</v>
      </c>
      <c r="G397" s="6" t="s">
        <v>156</v>
      </c>
      <c r="H397" s="6">
        <v>32.82</v>
      </c>
      <c r="I397" s="6" t="s">
        <v>14</v>
      </c>
    </row>
    <row r="398" spans="1:9" x14ac:dyDescent="0.35">
      <c r="A398" s="34">
        <v>45412</v>
      </c>
      <c r="B398" s="34" t="str">
        <f t="shared" si="13"/>
        <v>April</v>
      </c>
      <c r="C398" s="4" t="str">
        <f t="shared" si="12"/>
        <v>Tuesday</v>
      </c>
      <c r="D398" s="5">
        <v>45412.441523344911</v>
      </c>
      <c r="E398" s="6" t="str" cm="1">
        <f t="array" ref="E398">_xlfn.IFS(HOUR(D398)&gt;=20,"20-24 ",HOUR(D398)&gt;=16,"16-20",HOUR(D398)&gt;=12,"12-16",HOUR(D398)&lt;12,"7-12")</f>
        <v>7-12</v>
      </c>
      <c r="F398" s="6" t="s">
        <v>3</v>
      </c>
      <c r="G398" s="6" t="s">
        <v>156</v>
      </c>
      <c r="H398" s="6">
        <v>32.82</v>
      </c>
      <c r="I398" s="6" t="s">
        <v>14</v>
      </c>
    </row>
    <row r="399" spans="1:9" x14ac:dyDescent="0.35">
      <c r="A399" s="34">
        <v>45412</v>
      </c>
      <c r="B399" s="34" t="str">
        <f t="shared" si="13"/>
        <v>April</v>
      </c>
      <c r="C399" s="4" t="str">
        <f t="shared" si="12"/>
        <v>Tuesday</v>
      </c>
      <c r="D399" s="5">
        <v>45412.570744502314</v>
      </c>
      <c r="E399" s="6" t="str" cm="1">
        <f t="array" ref="E399">_xlfn.IFS(HOUR(D399)&gt;=20,"20-24 ",HOUR(D399)&gt;=16,"16-20",HOUR(D399)&gt;=12,"12-16",HOUR(D399)&lt;12,"7-12")</f>
        <v>12-16</v>
      </c>
      <c r="F399" s="6" t="s">
        <v>3</v>
      </c>
      <c r="G399" s="6" t="s">
        <v>156</v>
      </c>
      <c r="H399" s="6">
        <v>27.92</v>
      </c>
      <c r="I399" s="6" t="s">
        <v>11</v>
      </c>
    </row>
    <row r="400" spans="1:9" x14ac:dyDescent="0.35">
      <c r="A400" s="34">
        <v>45412</v>
      </c>
      <c r="B400" s="34" t="str">
        <f t="shared" si="13"/>
        <v>April</v>
      </c>
      <c r="C400" s="4" t="str">
        <f t="shared" si="12"/>
        <v>Tuesday</v>
      </c>
      <c r="D400" s="5">
        <v>45412.571527511573</v>
      </c>
      <c r="E400" s="6" t="str" cm="1">
        <f t="array" ref="E400">_xlfn.IFS(HOUR(D400)&gt;=20,"20-24 ",HOUR(D400)&gt;=16,"16-20",HOUR(D400)&gt;=12,"12-16",HOUR(D400)&lt;12,"7-12")</f>
        <v>12-16</v>
      </c>
      <c r="F400" s="6" t="s">
        <v>3</v>
      </c>
      <c r="G400" s="6" t="s">
        <v>156</v>
      </c>
      <c r="H400" s="6">
        <v>32.82</v>
      </c>
      <c r="I400" s="6" t="s">
        <v>14</v>
      </c>
    </row>
    <row r="401" spans="1:9" x14ac:dyDescent="0.35">
      <c r="A401" s="34">
        <v>45412</v>
      </c>
      <c r="B401" s="34" t="str">
        <f t="shared" si="13"/>
        <v>April</v>
      </c>
      <c r="C401" s="4" t="str">
        <f t="shared" si="12"/>
        <v>Tuesday</v>
      </c>
      <c r="D401" s="5">
        <v>45412.805071053241</v>
      </c>
      <c r="E401" s="6" t="str" cm="1">
        <f t="array" ref="E401">_xlfn.IFS(HOUR(D401)&gt;=20,"20-24 ",HOUR(D401)&gt;=16,"16-20",HOUR(D401)&gt;=12,"12-16",HOUR(D401)&lt;12,"7-12")</f>
        <v>16-20</v>
      </c>
      <c r="F401" s="6" t="s">
        <v>3</v>
      </c>
      <c r="G401" s="6" t="s">
        <v>156</v>
      </c>
      <c r="H401" s="6">
        <v>37.72</v>
      </c>
      <c r="I401" s="6" t="s">
        <v>43</v>
      </c>
    </row>
    <row r="402" spans="1:9" x14ac:dyDescent="0.35">
      <c r="A402" s="34">
        <v>45412</v>
      </c>
      <c r="B402" s="34" t="str">
        <f t="shared" si="13"/>
        <v>April</v>
      </c>
      <c r="C402" s="4" t="str">
        <f t="shared" si="12"/>
        <v>Tuesday</v>
      </c>
      <c r="D402" s="5">
        <v>45412.812546331021</v>
      </c>
      <c r="E402" s="6" t="str" cm="1">
        <f t="array" ref="E402">_xlfn.IFS(HOUR(D402)&gt;=20,"20-24 ",HOUR(D402)&gt;=16,"16-20",HOUR(D402)&gt;=12,"12-16",HOUR(D402)&lt;12,"7-12")</f>
        <v>16-20</v>
      </c>
      <c r="F402" s="6" t="s">
        <v>3</v>
      </c>
      <c r="G402" s="6" t="s">
        <v>156</v>
      </c>
      <c r="H402" s="6">
        <v>32.82</v>
      </c>
      <c r="I402" s="6" t="s">
        <v>14</v>
      </c>
    </row>
    <row r="403" spans="1:9" x14ac:dyDescent="0.35">
      <c r="A403" s="34">
        <v>45412</v>
      </c>
      <c r="B403" s="34" t="str">
        <f t="shared" si="13"/>
        <v>April</v>
      </c>
      <c r="C403" s="4" t="str">
        <f t="shared" si="12"/>
        <v>Tuesday</v>
      </c>
      <c r="D403" s="5">
        <v>45412.813436944445</v>
      </c>
      <c r="E403" s="6" t="str" cm="1">
        <f t="array" ref="E403">_xlfn.IFS(HOUR(D403)&gt;=20,"20-24 ",HOUR(D403)&gt;=16,"16-20",HOUR(D403)&gt;=12,"12-16",HOUR(D403)&lt;12,"7-12")</f>
        <v>16-20</v>
      </c>
      <c r="F403" s="6" t="s">
        <v>3</v>
      </c>
      <c r="G403" s="6" t="s">
        <v>156</v>
      </c>
      <c r="H403" s="6">
        <v>37.72</v>
      </c>
      <c r="I403" s="6" t="s">
        <v>7</v>
      </c>
    </row>
    <row r="404" spans="1:9" x14ac:dyDescent="0.35">
      <c r="A404" s="34">
        <v>45414</v>
      </c>
      <c r="B404" s="34" t="str">
        <f t="shared" si="13"/>
        <v>May</v>
      </c>
      <c r="C404" s="4" t="str">
        <f t="shared" si="12"/>
        <v>Thursday</v>
      </c>
      <c r="D404" s="5">
        <v>45414.440228541665</v>
      </c>
      <c r="E404" s="6" t="str" cm="1">
        <f t="array" ref="E404">_xlfn.IFS(HOUR(D404)&gt;=20,"20-24 ",HOUR(D404)&gt;=16,"16-20",HOUR(D404)&gt;=12,"12-16",HOUR(D404)&lt;12,"7-12")</f>
        <v>7-12</v>
      </c>
      <c r="F404" s="6" t="s">
        <v>3</v>
      </c>
      <c r="G404" s="6" t="s">
        <v>157</v>
      </c>
      <c r="H404" s="6">
        <v>27.92</v>
      </c>
      <c r="I404" s="6" t="s">
        <v>11</v>
      </c>
    </row>
    <row r="405" spans="1:9" x14ac:dyDescent="0.35">
      <c r="A405" s="34">
        <v>45414</v>
      </c>
      <c r="B405" s="34" t="str">
        <f t="shared" si="13"/>
        <v>May</v>
      </c>
      <c r="C405" s="4" t="str">
        <f t="shared" si="12"/>
        <v>Thursday</v>
      </c>
      <c r="D405" s="5">
        <v>45414.479132870372</v>
      </c>
      <c r="E405" s="6" t="str" cm="1">
        <f t="array" ref="E405">_xlfn.IFS(HOUR(D405)&gt;=20,"20-24 ",HOUR(D405)&gt;=16,"16-20",HOUR(D405)&gt;=12,"12-16",HOUR(D405)&lt;12,"7-12")</f>
        <v>7-12</v>
      </c>
      <c r="F405" s="6" t="s">
        <v>21</v>
      </c>
      <c r="G405" s="6" t="s">
        <v>463</v>
      </c>
      <c r="H405" s="6">
        <v>39</v>
      </c>
      <c r="I405" s="6" t="s">
        <v>7</v>
      </c>
    </row>
    <row r="406" spans="1:9" x14ac:dyDescent="0.35">
      <c r="A406" s="34">
        <v>45414</v>
      </c>
      <c r="B406" s="34" t="str">
        <f t="shared" si="13"/>
        <v>May</v>
      </c>
      <c r="C406" s="4" t="str">
        <f t="shared" si="12"/>
        <v>Thursday</v>
      </c>
      <c r="D406" s="5">
        <v>45414.576156226853</v>
      </c>
      <c r="E406" s="6" t="str" cm="1">
        <f t="array" ref="E406">_xlfn.IFS(HOUR(D406)&gt;=20,"20-24 ",HOUR(D406)&gt;=16,"16-20",HOUR(D406)&gt;=12,"12-16",HOUR(D406)&lt;12,"7-12")</f>
        <v>12-16</v>
      </c>
      <c r="F406" s="6" t="s">
        <v>3</v>
      </c>
      <c r="G406" s="6" t="s">
        <v>147</v>
      </c>
      <c r="H406" s="6">
        <v>32.82</v>
      </c>
      <c r="I406" s="6" t="s">
        <v>14</v>
      </c>
    </row>
    <row r="407" spans="1:9" x14ac:dyDescent="0.35">
      <c r="A407" s="34">
        <v>45414</v>
      </c>
      <c r="B407" s="34" t="str">
        <f t="shared" si="13"/>
        <v>May</v>
      </c>
      <c r="C407" s="4" t="str">
        <f t="shared" si="12"/>
        <v>Thursday</v>
      </c>
      <c r="D407" s="5">
        <v>45414.775256226851</v>
      </c>
      <c r="E407" s="6" t="str" cm="1">
        <f t="array" ref="E407">_xlfn.IFS(HOUR(D407)&gt;=20,"20-24 ",HOUR(D407)&gt;=16,"16-20",HOUR(D407)&gt;=12,"12-16",HOUR(D407)&lt;12,"7-12")</f>
        <v>16-20</v>
      </c>
      <c r="F407" s="6" t="s">
        <v>3</v>
      </c>
      <c r="G407" s="6" t="s">
        <v>158</v>
      </c>
      <c r="H407" s="6">
        <v>37.72</v>
      </c>
      <c r="I407" s="6" t="s">
        <v>43</v>
      </c>
    </row>
    <row r="408" spans="1:9" x14ac:dyDescent="0.35">
      <c r="A408" s="34">
        <v>45414</v>
      </c>
      <c r="B408" s="34" t="str">
        <f t="shared" si="13"/>
        <v>May</v>
      </c>
      <c r="C408" s="4" t="str">
        <f t="shared" si="12"/>
        <v>Thursday</v>
      </c>
      <c r="D408" s="5">
        <v>45414.77860208333</v>
      </c>
      <c r="E408" s="6" t="str" cm="1">
        <f t="array" ref="E408">_xlfn.IFS(HOUR(D408)&gt;=20,"20-24 ",HOUR(D408)&gt;=16,"16-20",HOUR(D408)&gt;=12,"12-16",HOUR(D408)&lt;12,"7-12")</f>
        <v>16-20</v>
      </c>
      <c r="F408" s="6" t="s">
        <v>3</v>
      </c>
      <c r="G408" s="6" t="s">
        <v>37</v>
      </c>
      <c r="H408" s="6">
        <v>32.82</v>
      </c>
      <c r="I408" s="6" t="s">
        <v>14</v>
      </c>
    </row>
    <row r="409" spans="1:9" x14ac:dyDescent="0.35">
      <c r="A409" s="34">
        <v>45414</v>
      </c>
      <c r="B409" s="34" t="str">
        <f t="shared" si="13"/>
        <v>May</v>
      </c>
      <c r="C409" s="4" t="str">
        <f t="shared" si="12"/>
        <v>Thursday</v>
      </c>
      <c r="D409" s="5">
        <v>45414.804549583336</v>
      </c>
      <c r="E409" s="6" t="str" cm="1">
        <f t="array" ref="E409">_xlfn.IFS(HOUR(D409)&gt;=20,"20-24 ",HOUR(D409)&gt;=16,"16-20",HOUR(D409)&gt;=12,"12-16",HOUR(D409)&lt;12,"7-12")</f>
        <v>16-20</v>
      </c>
      <c r="F409" s="6" t="s">
        <v>3</v>
      </c>
      <c r="G409" s="6" t="s">
        <v>159</v>
      </c>
      <c r="H409" s="6">
        <v>37.72</v>
      </c>
      <c r="I409" s="6" t="s">
        <v>7</v>
      </c>
    </row>
    <row r="410" spans="1:9" x14ac:dyDescent="0.35">
      <c r="A410" s="34">
        <v>45414</v>
      </c>
      <c r="B410" s="34" t="str">
        <f t="shared" si="13"/>
        <v>May</v>
      </c>
      <c r="C410" s="4" t="str">
        <f t="shared" si="12"/>
        <v>Thursday</v>
      </c>
      <c r="D410" s="5">
        <v>45414.805513414351</v>
      </c>
      <c r="E410" s="6" t="str" cm="1">
        <f t="array" ref="E410">_xlfn.IFS(HOUR(D410)&gt;=20,"20-24 ",HOUR(D410)&gt;=16,"16-20",HOUR(D410)&gt;=12,"12-16",HOUR(D410)&lt;12,"7-12")</f>
        <v>16-20</v>
      </c>
      <c r="F410" s="6" t="s">
        <v>3</v>
      </c>
      <c r="G410" s="6" t="s">
        <v>159</v>
      </c>
      <c r="H410" s="6">
        <v>37.72</v>
      </c>
      <c r="I410" s="6" t="s">
        <v>43</v>
      </c>
    </row>
    <row r="411" spans="1:9" x14ac:dyDescent="0.35">
      <c r="A411" s="34">
        <v>45415</v>
      </c>
      <c r="B411" s="34" t="str">
        <f t="shared" si="13"/>
        <v>May</v>
      </c>
      <c r="C411" s="4" t="str">
        <f t="shared" si="12"/>
        <v>Friday</v>
      </c>
      <c r="D411" s="5">
        <v>45415.424923599538</v>
      </c>
      <c r="E411" s="6" t="str" cm="1">
        <f t="array" ref="E411">_xlfn.IFS(HOUR(D411)&gt;=20,"20-24 ",HOUR(D411)&gt;=16,"16-20",HOUR(D411)&gt;=12,"12-16",HOUR(D411)&lt;12,"7-12")</f>
        <v>7-12</v>
      </c>
      <c r="F411" s="6" t="s">
        <v>21</v>
      </c>
      <c r="G411" s="6" t="s">
        <v>463</v>
      </c>
      <c r="H411" s="6">
        <v>39</v>
      </c>
      <c r="I411" s="6" t="s">
        <v>7</v>
      </c>
    </row>
    <row r="412" spans="1:9" x14ac:dyDescent="0.35">
      <c r="A412" s="34">
        <v>45415</v>
      </c>
      <c r="B412" s="34" t="str">
        <f t="shared" si="13"/>
        <v>May</v>
      </c>
      <c r="C412" s="4" t="str">
        <f t="shared" si="12"/>
        <v>Friday</v>
      </c>
      <c r="D412" s="5">
        <v>45415.604177349538</v>
      </c>
      <c r="E412" s="6" t="str" cm="1">
        <f t="array" ref="E412">_xlfn.IFS(HOUR(D412)&gt;=20,"20-24 ",HOUR(D412)&gt;=16,"16-20",HOUR(D412)&gt;=12,"12-16",HOUR(D412)&lt;12,"7-12")</f>
        <v>12-16</v>
      </c>
      <c r="F412" s="6" t="s">
        <v>3</v>
      </c>
      <c r="G412" s="6" t="s">
        <v>160</v>
      </c>
      <c r="H412" s="6">
        <v>37.72</v>
      </c>
      <c r="I412" s="6" t="s">
        <v>7</v>
      </c>
    </row>
    <row r="413" spans="1:9" x14ac:dyDescent="0.35">
      <c r="A413" s="34">
        <v>45415</v>
      </c>
      <c r="B413" s="34" t="str">
        <f t="shared" si="13"/>
        <v>May</v>
      </c>
      <c r="C413" s="4" t="str">
        <f t="shared" si="12"/>
        <v>Friday</v>
      </c>
      <c r="D413" s="5">
        <v>45415.71070491898</v>
      </c>
      <c r="E413" s="6" t="str" cm="1">
        <f t="array" ref="E413">_xlfn.IFS(HOUR(D413)&gt;=20,"20-24 ",HOUR(D413)&gt;=16,"16-20",HOUR(D413)&gt;=12,"12-16",HOUR(D413)&lt;12,"7-12")</f>
        <v>16-20</v>
      </c>
      <c r="F413" s="6" t="s">
        <v>3</v>
      </c>
      <c r="G413" s="6" t="s">
        <v>161</v>
      </c>
      <c r="H413" s="6">
        <v>37.72</v>
      </c>
      <c r="I413" s="6" t="s">
        <v>7</v>
      </c>
    </row>
    <row r="414" spans="1:9" x14ac:dyDescent="0.35">
      <c r="A414" s="34">
        <v>45418</v>
      </c>
      <c r="B414" s="34" t="str">
        <f t="shared" si="13"/>
        <v>May</v>
      </c>
      <c r="C414" s="4" t="str">
        <f t="shared" si="12"/>
        <v>Monday</v>
      </c>
      <c r="D414" s="5">
        <v>45418.420346296298</v>
      </c>
      <c r="E414" s="6" t="str" cm="1">
        <f t="array" ref="E414">_xlfn.IFS(HOUR(D414)&gt;=20,"20-24 ",HOUR(D414)&gt;=16,"16-20",HOUR(D414)&gt;=12,"12-16",HOUR(D414)&lt;12,"7-12")</f>
        <v>7-12</v>
      </c>
      <c r="F414" s="6" t="s">
        <v>3</v>
      </c>
      <c r="G414" s="6" t="s">
        <v>162</v>
      </c>
      <c r="H414" s="6">
        <v>27.92</v>
      </c>
      <c r="I414" s="6" t="s">
        <v>11</v>
      </c>
    </row>
    <row r="415" spans="1:9" x14ac:dyDescent="0.35">
      <c r="A415" s="34">
        <v>45418</v>
      </c>
      <c r="B415" s="34" t="str">
        <f t="shared" si="13"/>
        <v>May</v>
      </c>
      <c r="C415" s="4" t="str">
        <f t="shared" si="12"/>
        <v>Monday</v>
      </c>
      <c r="D415" s="5">
        <v>45418.421430844908</v>
      </c>
      <c r="E415" s="6" t="str" cm="1">
        <f t="array" ref="E415">_xlfn.IFS(HOUR(D415)&gt;=20,"20-24 ",HOUR(D415)&gt;=16,"16-20",HOUR(D415)&gt;=12,"12-16",HOUR(D415)&lt;12,"7-12")</f>
        <v>7-12</v>
      </c>
      <c r="F415" s="6" t="s">
        <v>3</v>
      </c>
      <c r="G415" s="6" t="s">
        <v>163</v>
      </c>
      <c r="H415" s="6">
        <v>37.72</v>
      </c>
      <c r="I415" s="6" t="s">
        <v>43</v>
      </c>
    </row>
    <row r="416" spans="1:9" x14ac:dyDescent="0.35">
      <c r="A416" s="34">
        <v>45418</v>
      </c>
      <c r="B416" s="34" t="str">
        <f t="shared" si="13"/>
        <v>May</v>
      </c>
      <c r="C416" s="4" t="str">
        <f t="shared" si="12"/>
        <v>Monday</v>
      </c>
      <c r="D416" s="5">
        <v>45418.42229008102</v>
      </c>
      <c r="E416" s="6" t="str" cm="1">
        <f t="array" ref="E416">_xlfn.IFS(HOUR(D416)&gt;=20,"20-24 ",HOUR(D416)&gt;=16,"16-20",HOUR(D416)&gt;=12,"12-16",HOUR(D416)&lt;12,"7-12")</f>
        <v>7-12</v>
      </c>
      <c r="F416" s="6" t="s">
        <v>3</v>
      </c>
      <c r="G416" s="6" t="s">
        <v>163</v>
      </c>
      <c r="H416" s="6">
        <v>32.82</v>
      </c>
      <c r="I416" s="6" t="s">
        <v>14</v>
      </c>
    </row>
    <row r="417" spans="1:9" x14ac:dyDescent="0.35">
      <c r="A417" s="34">
        <v>45418</v>
      </c>
      <c r="B417" s="34" t="str">
        <f t="shared" si="13"/>
        <v>May</v>
      </c>
      <c r="C417" s="4" t="str">
        <f t="shared" si="12"/>
        <v>Monday</v>
      </c>
      <c r="D417" s="5">
        <v>45418.423008993057</v>
      </c>
      <c r="E417" s="6" t="str" cm="1">
        <f t="array" ref="E417">_xlfn.IFS(HOUR(D417)&gt;=20,"20-24 ",HOUR(D417)&gt;=16,"16-20",HOUR(D417)&gt;=12,"12-16",HOUR(D417)&lt;12,"7-12")</f>
        <v>7-12</v>
      </c>
      <c r="F417" s="6" t="s">
        <v>3</v>
      </c>
      <c r="G417" s="6" t="s">
        <v>164</v>
      </c>
      <c r="H417" s="6">
        <v>27.92</v>
      </c>
      <c r="I417" s="6" t="s">
        <v>11</v>
      </c>
    </row>
    <row r="418" spans="1:9" x14ac:dyDescent="0.35">
      <c r="A418" s="34">
        <v>45418</v>
      </c>
      <c r="B418" s="34" t="str">
        <f t="shared" si="13"/>
        <v>May</v>
      </c>
      <c r="C418" s="4" t="str">
        <f t="shared" si="12"/>
        <v>Monday</v>
      </c>
      <c r="D418" s="5">
        <v>45418.443896307872</v>
      </c>
      <c r="E418" s="6" t="str" cm="1">
        <f t="array" ref="E418">_xlfn.IFS(HOUR(D418)&gt;=20,"20-24 ",HOUR(D418)&gt;=16,"16-20",HOUR(D418)&gt;=12,"12-16",HOUR(D418)&lt;12,"7-12")</f>
        <v>7-12</v>
      </c>
      <c r="F418" s="6" t="s">
        <v>3</v>
      </c>
      <c r="G418" s="6" t="s">
        <v>155</v>
      </c>
      <c r="H418" s="6">
        <v>27.92</v>
      </c>
      <c r="I418" s="6" t="s">
        <v>28</v>
      </c>
    </row>
    <row r="419" spans="1:9" x14ac:dyDescent="0.35">
      <c r="A419" s="34">
        <v>45418</v>
      </c>
      <c r="B419" s="34" t="str">
        <f t="shared" si="13"/>
        <v>May</v>
      </c>
      <c r="C419" s="4" t="str">
        <f t="shared" si="12"/>
        <v>Monday</v>
      </c>
      <c r="D419" s="5">
        <v>45418.482183333334</v>
      </c>
      <c r="E419" s="6" t="str" cm="1">
        <f t="array" ref="E419">_xlfn.IFS(HOUR(D419)&gt;=20,"20-24 ",HOUR(D419)&gt;=16,"16-20",HOUR(D419)&gt;=12,"12-16",HOUR(D419)&lt;12,"7-12")</f>
        <v>7-12</v>
      </c>
      <c r="F419" s="6" t="s">
        <v>21</v>
      </c>
      <c r="G419" s="6" t="s">
        <v>463</v>
      </c>
      <c r="H419" s="6">
        <v>29</v>
      </c>
      <c r="I419" s="6" t="s">
        <v>11</v>
      </c>
    </row>
    <row r="420" spans="1:9" x14ac:dyDescent="0.35">
      <c r="A420" s="34">
        <v>45418</v>
      </c>
      <c r="B420" s="34" t="str">
        <f t="shared" si="13"/>
        <v>May</v>
      </c>
      <c r="C420" s="4" t="str">
        <f t="shared" si="12"/>
        <v>Monday</v>
      </c>
      <c r="D420" s="5">
        <v>45418.554293865738</v>
      </c>
      <c r="E420" s="6" t="str" cm="1">
        <f t="array" ref="E420">_xlfn.IFS(HOUR(D420)&gt;=20,"20-24 ",HOUR(D420)&gt;=16,"16-20",HOUR(D420)&gt;=12,"12-16",HOUR(D420)&lt;12,"7-12")</f>
        <v>12-16</v>
      </c>
      <c r="F420" s="6" t="s">
        <v>3</v>
      </c>
      <c r="G420" s="6" t="s">
        <v>162</v>
      </c>
      <c r="H420" s="6">
        <v>27.92</v>
      </c>
      <c r="I420" s="6" t="s">
        <v>28</v>
      </c>
    </row>
    <row r="421" spans="1:9" x14ac:dyDescent="0.35">
      <c r="A421" s="34">
        <v>45418</v>
      </c>
      <c r="B421" s="34" t="str">
        <f t="shared" si="13"/>
        <v>May</v>
      </c>
      <c r="C421" s="4" t="str">
        <f t="shared" si="12"/>
        <v>Monday</v>
      </c>
      <c r="D421" s="5">
        <v>45418.554870497683</v>
      </c>
      <c r="E421" s="6" t="str" cm="1">
        <f t="array" ref="E421">_xlfn.IFS(HOUR(D421)&gt;=20,"20-24 ",HOUR(D421)&gt;=16,"16-20",HOUR(D421)&gt;=12,"12-16",HOUR(D421)&lt;12,"7-12")</f>
        <v>12-16</v>
      </c>
      <c r="F421" s="6" t="s">
        <v>3</v>
      </c>
      <c r="G421" s="6" t="s">
        <v>162</v>
      </c>
      <c r="H421" s="6">
        <v>27.92</v>
      </c>
      <c r="I421" s="6" t="s">
        <v>11</v>
      </c>
    </row>
    <row r="422" spans="1:9" x14ac:dyDescent="0.35">
      <c r="A422" s="34">
        <v>45418</v>
      </c>
      <c r="B422" s="34" t="str">
        <f t="shared" si="13"/>
        <v>May</v>
      </c>
      <c r="C422" s="4" t="str">
        <f t="shared" si="12"/>
        <v>Monday</v>
      </c>
      <c r="D422" s="5">
        <v>45418.804317002316</v>
      </c>
      <c r="E422" s="6" t="str" cm="1">
        <f t="array" ref="E422">_xlfn.IFS(HOUR(D422)&gt;=20,"20-24 ",HOUR(D422)&gt;=16,"16-20",HOUR(D422)&gt;=12,"12-16",HOUR(D422)&lt;12,"7-12")</f>
        <v>16-20</v>
      </c>
      <c r="F422" s="6" t="s">
        <v>3</v>
      </c>
      <c r="G422" s="6" t="s">
        <v>165</v>
      </c>
      <c r="H422" s="6">
        <v>37.72</v>
      </c>
      <c r="I422" s="6" t="s">
        <v>43</v>
      </c>
    </row>
    <row r="423" spans="1:9" x14ac:dyDescent="0.35">
      <c r="A423" s="34">
        <v>45418</v>
      </c>
      <c r="B423" s="34" t="str">
        <f t="shared" si="13"/>
        <v>May</v>
      </c>
      <c r="C423" s="4" t="str">
        <f t="shared" si="12"/>
        <v>Monday</v>
      </c>
      <c r="D423" s="5">
        <v>45418.80543458333</v>
      </c>
      <c r="E423" s="6" t="str" cm="1">
        <f t="array" ref="E423">_xlfn.IFS(HOUR(D423)&gt;=20,"20-24 ",HOUR(D423)&gt;=16,"16-20",HOUR(D423)&gt;=12,"12-16",HOUR(D423)&lt;12,"7-12")</f>
        <v>16-20</v>
      </c>
      <c r="F423" s="6" t="s">
        <v>3</v>
      </c>
      <c r="G423" s="6" t="s">
        <v>165</v>
      </c>
      <c r="H423" s="6">
        <v>37.72</v>
      </c>
      <c r="I423" s="6" t="s">
        <v>43</v>
      </c>
    </row>
    <row r="424" spans="1:9" x14ac:dyDescent="0.35">
      <c r="A424" s="34">
        <v>45419</v>
      </c>
      <c r="B424" s="34" t="str">
        <f t="shared" si="13"/>
        <v>May</v>
      </c>
      <c r="C424" s="4" t="str">
        <f t="shared" si="12"/>
        <v>Tuesday</v>
      </c>
      <c r="D424" s="5">
        <v>45419.447865532406</v>
      </c>
      <c r="E424" s="6" t="str" cm="1">
        <f t="array" ref="E424">_xlfn.IFS(HOUR(D424)&gt;=20,"20-24 ",HOUR(D424)&gt;=16,"16-20",HOUR(D424)&gt;=12,"12-16",HOUR(D424)&lt;12,"7-12")</f>
        <v>7-12</v>
      </c>
      <c r="F424" s="6" t="s">
        <v>3</v>
      </c>
      <c r="G424" s="6" t="s">
        <v>162</v>
      </c>
      <c r="H424" s="6">
        <v>37.72</v>
      </c>
      <c r="I424" s="6" t="s">
        <v>18</v>
      </c>
    </row>
    <row r="425" spans="1:9" x14ac:dyDescent="0.35">
      <c r="A425" s="34">
        <v>45419</v>
      </c>
      <c r="B425" s="34" t="str">
        <f t="shared" si="13"/>
        <v>May</v>
      </c>
      <c r="C425" s="4" t="str">
        <f t="shared" si="12"/>
        <v>Tuesday</v>
      </c>
      <c r="D425" s="5">
        <v>45419.473593668983</v>
      </c>
      <c r="E425" s="6" t="str" cm="1">
        <f t="array" ref="E425">_xlfn.IFS(HOUR(D425)&gt;=20,"20-24 ",HOUR(D425)&gt;=16,"16-20",HOUR(D425)&gt;=12,"12-16",HOUR(D425)&lt;12,"7-12")</f>
        <v>7-12</v>
      </c>
      <c r="F425" s="6" t="s">
        <v>3</v>
      </c>
      <c r="G425" s="6" t="s">
        <v>155</v>
      </c>
      <c r="H425" s="6">
        <v>27.92</v>
      </c>
      <c r="I425" s="6" t="s">
        <v>28</v>
      </c>
    </row>
    <row r="426" spans="1:9" x14ac:dyDescent="0.35">
      <c r="A426" s="34">
        <v>45419</v>
      </c>
      <c r="B426" s="34" t="str">
        <f t="shared" si="13"/>
        <v>May</v>
      </c>
      <c r="C426" s="4" t="str">
        <f t="shared" si="12"/>
        <v>Tuesday</v>
      </c>
      <c r="D426" s="5">
        <v>45419.558043321762</v>
      </c>
      <c r="E426" s="6" t="str" cm="1">
        <f t="array" ref="E426">_xlfn.IFS(HOUR(D426)&gt;=20,"20-24 ",HOUR(D426)&gt;=16,"16-20",HOUR(D426)&gt;=12,"12-16",HOUR(D426)&lt;12,"7-12")</f>
        <v>12-16</v>
      </c>
      <c r="F426" s="6" t="s">
        <v>3</v>
      </c>
      <c r="G426" s="6" t="s">
        <v>91</v>
      </c>
      <c r="H426" s="6">
        <v>27.92</v>
      </c>
      <c r="I426" s="6" t="s">
        <v>28</v>
      </c>
    </row>
    <row r="427" spans="1:9" x14ac:dyDescent="0.35">
      <c r="A427" s="34">
        <v>45419</v>
      </c>
      <c r="B427" s="34" t="str">
        <f t="shared" si="13"/>
        <v>May</v>
      </c>
      <c r="C427" s="4" t="str">
        <f t="shared" si="12"/>
        <v>Tuesday</v>
      </c>
      <c r="D427" s="5">
        <v>45419.695924768515</v>
      </c>
      <c r="E427" s="6" t="str" cm="1">
        <f t="array" ref="E427">_xlfn.IFS(HOUR(D427)&gt;=20,"20-24 ",HOUR(D427)&gt;=16,"16-20",HOUR(D427)&gt;=12,"12-16",HOUR(D427)&lt;12,"7-12")</f>
        <v>16-20</v>
      </c>
      <c r="F427" s="6" t="s">
        <v>3</v>
      </c>
      <c r="G427" s="6" t="s">
        <v>162</v>
      </c>
      <c r="H427" s="6">
        <v>37.72</v>
      </c>
      <c r="I427" s="6" t="s">
        <v>18</v>
      </c>
    </row>
    <row r="428" spans="1:9" x14ac:dyDescent="0.35">
      <c r="A428" s="34">
        <v>45419</v>
      </c>
      <c r="B428" s="34" t="str">
        <f t="shared" si="13"/>
        <v>May</v>
      </c>
      <c r="C428" s="4" t="str">
        <f t="shared" si="12"/>
        <v>Tuesday</v>
      </c>
      <c r="D428" s="5">
        <v>45419.705310243058</v>
      </c>
      <c r="E428" s="6" t="str" cm="1">
        <f t="array" ref="E428">_xlfn.IFS(HOUR(D428)&gt;=20,"20-24 ",HOUR(D428)&gt;=16,"16-20",HOUR(D428)&gt;=12,"12-16",HOUR(D428)&lt;12,"7-12")</f>
        <v>16-20</v>
      </c>
      <c r="F428" s="6" t="s">
        <v>3</v>
      </c>
      <c r="G428" s="6" t="s">
        <v>166</v>
      </c>
      <c r="H428" s="6">
        <v>27.92</v>
      </c>
      <c r="I428" s="6" t="s">
        <v>11</v>
      </c>
    </row>
    <row r="429" spans="1:9" x14ac:dyDescent="0.35">
      <c r="A429" s="34">
        <v>45419</v>
      </c>
      <c r="B429" s="34" t="str">
        <f t="shared" si="13"/>
        <v>May</v>
      </c>
      <c r="C429" s="4" t="str">
        <f t="shared" si="12"/>
        <v>Tuesday</v>
      </c>
      <c r="D429" s="5">
        <v>45419.734564953702</v>
      </c>
      <c r="E429" s="6" t="str" cm="1">
        <f t="array" ref="E429">_xlfn.IFS(HOUR(D429)&gt;=20,"20-24 ",HOUR(D429)&gt;=16,"16-20",HOUR(D429)&gt;=12,"12-16",HOUR(D429)&lt;12,"7-12")</f>
        <v>16-20</v>
      </c>
      <c r="F429" s="6" t="s">
        <v>3</v>
      </c>
      <c r="G429" s="6" t="s">
        <v>167</v>
      </c>
      <c r="H429" s="6">
        <v>37.72</v>
      </c>
      <c r="I429" s="6" t="s">
        <v>43</v>
      </c>
    </row>
    <row r="430" spans="1:9" x14ac:dyDescent="0.35">
      <c r="A430" s="34">
        <v>45419</v>
      </c>
      <c r="B430" s="34" t="str">
        <f t="shared" si="13"/>
        <v>May</v>
      </c>
      <c r="C430" s="4" t="str">
        <f t="shared" si="12"/>
        <v>Tuesday</v>
      </c>
      <c r="D430" s="5">
        <v>45419.735280034722</v>
      </c>
      <c r="E430" s="6" t="str" cm="1">
        <f t="array" ref="E430">_xlfn.IFS(HOUR(D430)&gt;=20,"20-24 ",HOUR(D430)&gt;=16,"16-20",HOUR(D430)&gt;=12,"12-16",HOUR(D430)&lt;12,"7-12")</f>
        <v>16-20</v>
      </c>
      <c r="F430" s="6" t="s">
        <v>3</v>
      </c>
      <c r="G430" s="6" t="s">
        <v>167</v>
      </c>
      <c r="H430" s="6">
        <v>37.72</v>
      </c>
      <c r="I430" s="6" t="s">
        <v>7</v>
      </c>
    </row>
    <row r="431" spans="1:9" x14ac:dyDescent="0.35">
      <c r="A431" s="34">
        <v>45419</v>
      </c>
      <c r="B431" s="34" t="str">
        <f t="shared" si="13"/>
        <v>May</v>
      </c>
      <c r="C431" s="4" t="str">
        <f t="shared" si="12"/>
        <v>Tuesday</v>
      </c>
      <c r="D431" s="5">
        <v>45419.774736516207</v>
      </c>
      <c r="E431" s="6" t="str" cm="1">
        <f t="array" ref="E431">_xlfn.IFS(HOUR(D431)&gt;=20,"20-24 ",HOUR(D431)&gt;=16,"16-20",HOUR(D431)&gt;=12,"12-16",HOUR(D431)&lt;12,"7-12")</f>
        <v>16-20</v>
      </c>
      <c r="F431" s="6" t="s">
        <v>21</v>
      </c>
      <c r="G431" s="6" t="s">
        <v>463</v>
      </c>
      <c r="H431" s="6">
        <v>34</v>
      </c>
      <c r="I431" s="6" t="s">
        <v>14</v>
      </c>
    </row>
    <row r="432" spans="1:9" x14ac:dyDescent="0.35">
      <c r="A432" s="34">
        <v>45419</v>
      </c>
      <c r="B432" s="34" t="str">
        <f t="shared" si="13"/>
        <v>May</v>
      </c>
      <c r="C432" s="4" t="str">
        <f t="shared" si="12"/>
        <v>Tuesday</v>
      </c>
      <c r="D432" s="5">
        <v>45419.800144953704</v>
      </c>
      <c r="E432" s="6" t="str" cm="1">
        <f t="array" ref="E432">_xlfn.IFS(HOUR(D432)&gt;=20,"20-24 ",HOUR(D432)&gt;=16,"16-20",HOUR(D432)&gt;=12,"12-16",HOUR(D432)&lt;12,"7-12")</f>
        <v>16-20</v>
      </c>
      <c r="F432" s="6" t="s">
        <v>3</v>
      </c>
      <c r="G432" s="6" t="s">
        <v>168</v>
      </c>
      <c r="H432" s="6">
        <v>37.72</v>
      </c>
      <c r="I432" s="6" t="s">
        <v>43</v>
      </c>
    </row>
    <row r="433" spans="1:9" x14ac:dyDescent="0.35">
      <c r="A433" s="34">
        <v>45419</v>
      </c>
      <c r="B433" s="34" t="str">
        <f t="shared" si="13"/>
        <v>May</v>
      </c>
      <c r="C433" s="4" t="str">
        <f t="shared" si="12"/>
        <v>Tuesday</v>
      </c>
      <c r="D433" s="5">
        <v>45419.800835590278</v>
      </c>
      <c r="E433" s="6" t="str" cm="1">
        <f t="array" ref="E433">_xlfn.IFS(HOUR(D433)&gt;=20,"20-24 ",HOUR(D433)&gt;=16,"16-20",HOUR(D433)&gt;=12,"12-16",HOUR(D433)&lt;12,"7-12")</f>
        <v>16-20</v>
      </c>
      <c r="F433" s="6" t="s">
        <v>3</v>
      </c>
      <c r="G433" s="6" t="s">
        <v>168</v>
      </c>
      <c r="H433" s="6">
        <v>37.72</v>
      </c>
      <c r="I433" s="6" t="s">
        <v>43</v>
      </c>
    </row>
    <row r="434" spans="1:9" x14ac:dyDescent="0.35">
      <c r="A434" s="34">
        <v>45420</v>
      </c>
      <c r="B434" s="34" t="str">
        <f t="shared" si="13"/>
        <v>May</v>
      </c>
      <c r="C434" s="4" t="str">
        <f t="shared" si="12"/>
        <v>Wednesday</v>
      </c>
      <c r="D434" s="5">
        <v>45420.421861840281</v>
      </c>
      <c r="E434" s="6" t="str" cm="1">
        <f t="array" ref="E434">_xlfn.IFS(HOUR(D434)&gt;=20,"20-24 ",HOUR(D434)&gt;=16,"16-20",HOUR(D434)&gt;=12,"12-16",HOUR(D434)&lt;12,"7-12")</f>
        <v>7-12</v>
      </c>
      <c r="F434" s="6" t="s">
        <v>3</v>
      </c>
      <c r="G434" s="6" t="s">
        <v>6</v>
      </c>
      <c r="H434" s="6">
        <v>37.72</v>
      </c>
      <c r="I434" s="6" t="s">
        <v>7</v>
      </c>
    </row>
    <row r="435" spans="1:9" x14ac:dyDescent="0.35">
      <c r="A435" s="34">
        <v>45421</v>
      </c>
      <c r="B435" s="34" t="str">
        <f t="shared" si="13"/>
        <v>May</v>
      </c>
      <c r="C435" s="4" t="str">
        <f t="shared" si="12"/>
        <v>Thursday</v>
      </c>
      <c r="D435" s="5">
        <v>45421.537752453703</v>
      </c>
      <c r="E435" s="6" t="str" cm="1">
        <f t="array" ref="E435">_xlfn.IFS(HOUR(D435)&gt;=20,"20-24 ",HOUR(D435)&gt;=16,"16-20",HOUR(D435)&gt;=12,"12-16",HOUR(D435)&lt;12,"7-12")</f>
        <v>12-16</v>
      </c>
      <c r="F435" s="6" t="s">
        <v>3</v>
      </c>
      <c r="G435" s="6" t="s">
        <v>169</v>
      </c>
      <c r="H435" s="6">
        <v>37.72</v>
      </c>
      <c r="I435" s="6" t="s">
        <v>43</v>
      </c>
    </row>
    <row r="436" spans="1:9" x14ac:dyDescent="0.35">
      <c r="A436" s="34">
        <v>45421</v>
      </c>
      <c r="B436" s="34" t="str">
        <f t="shared" si="13"/>
        <v>May</v>
      </c>
      <c r="C436" s="4" t="str">
        <f t="shared" si="12"/>
        <v>Thursday</v>
      </c>
      <c r="D436" s="5">
        <v>45421.544427731482</v>
      </c>
      <c r="E436" s="6" t="str" cm="1">
        <f t="array" ref="E436">_xlfn.IFS(HOUR(D436)&gt;=20,"20-24 ",HOUR(D436)&gt;=16,"16-20",HOUR(D436)&gt;=12,"12-16",HOUR(D436)&lt;12,"7-12")</f>
        <v>12-16</v>
      </c>
      <c r="F436" s="6" t="s">
        <v>3</v>
      </c>
      <c r="G436" s="6" t="s">
        <v>170</v>
      </c>
      <c r="H436" s="6">
        <v>27.92</v>
      </c>
      <c r="I436" s="6" t="s">
        <v>11</v>
      </c>
    </row>
    <row r="437" spans="1:9" x14ac:dyDescent="0.35">
      <c r="A437" s="34">
        <v>45421</v>
      </c>
      <c r="B437" s="34" t="str">
        <f t="shared" si="13"/>
        <v>May</v>
      </c>
      <c r="C437" s="4" t="str">
        <f t="shared" si="12"/>
        <v>Thursday</v>
      </c>
      <c r="D437" s="5">
        <v>45421.54511165509</v>
      </c>
      <c r="E437" s="6" t="str" cm="1">
        <f t="array" ref="E437">_xlfn.IFS(HOUR(D437)&gt;=20,"20-24 ",HOUR(D437)&gt;=16,"16-20",HOUR(D437)&gt;=12,"12-16",HOUR(D437)&lt;12,"7-12")</f>
        <v>12-16</v>
      </c>
      <c r="F437" s="6" t="s">
        <v>3</v>
      </c>
      <c r="G437" s="6" t="s">
        <v>170</v>
      </c>
      <c r="H437" s="6">
        <v>37.72</v>
      </c>
      <c r="I437" s="6" t="s">
        <v>7</v>
      </c>
    </row>
    <row r="438" spans="1:9" x14ac:dyDescent="0.35">
      <c r="A438" s="34">
        <v>45421</v>
      </c>
      <c r="B438" s="34" t="str">
        <f t="shared" si="13"/>
        <v>May</v>
      </c>
      <c r="C438" s="4" t="str">
        <f t="shared" si="12"/>
        <v>Thursday</v>
      </c>
      <c r="D438" s="5">
        <v>45421.545963668985</v>
      </c>
      <c r="E438" s="6" t="str" cm="1">
        <f t="array" ref="E438">_xlfn.IFS(HOUR(D438)&gt;=20,"20-24 ",HOUR(D438)&gt;=16,"16-20",HOUR(D438)&gt;=12,"12-16",HOUR(D438)&lt;12,"7-12")</f>
        <v>12-16</v>
      </c>
      <c r="F438" s="6" t="s">
        <v>3</v>
      </c>
      <c r="G438" s="6" t="s">
        <v>170</v>
      </c>
      <c r="H438" s="6">
        <v>37.72</v>
      </c>
      <c r="I438" s="6" t="s">
        <v>7</v>
      </c>
    </row>
    <row r="439" spans="1:9" x14ac:dyDescent="0.35">
      <c r="A439" s="34">
        <v>45421</v>
      </c>
      <c r="B439" s="34" t="str">
        <f t="shared" si="13"/>
        <v>May</v>
      </c>
      <c r="C439" s="4" t="str">
        <f t="shared" si="12"/>
        <v>Thursday</v>
      </c>
      <c r="D439" s="5">
        <v>45421.546717696758</v>
      </c>
      <c r="E439" s="6" t="str" cm="1">
        <f t="array" ref="E439">_xlfn.IFS(HOUR(D439)&gt;=20,"20-24 ",HOUR(D439)&gt;=16,"16-20",HOUR(D439)&gt;=12,"12-16",HOUR(D439)&lt;12,"7-12")</f>
        <v>12-16</v>
      </c>
      <c r="F439" s="6" t="s">
        <v>3</v>
      </c>
      <c r="G439" s="6" t="s">
        <v>170</v>
      </c>
      <c r="H439" s="6">
        <v>37.72</v>
      </c>
      <c r="I439" s="6" t="s">
        <v>7</v>
      </c>
    </row>
    <row r="440" spans="1:9" x14ac:dyDescent="0.35">
      <c r="A440" s="34">
        <v>45421</v>
      </c>
      <c r="B440" s="34" t="str">
        <f t="shared" si="13"/>
        <v>May</v>
      </c>
      <c r="C440" s="4" t="str">
        <f t="shared" si="12"/>
        <v>Thursday</v>
      </c>
      <c r="D440" s="5">
        <v>45421.705030104167</v>
      </c>
      <c r="E440" s="6" t="str" cm="1">
        <f t="array" ref="E440">_xlfn.IFS(HOUR(D440)&gt;=20,"20-24 ",HOUR(D440)&gt;=16,"16-20",HOUR(D440)&gt;=12,"12-16",HOUR(D440)&lt;12,"7-12")</f>
        <v>16-20</v>
      </c>
      <c r="F440" s="6" t="s">
        <v>3</v>
      </c>
      <c r="G440" s="6" t="s">
        <v>132</v>
      </c>
      <c r="H440" s="6">
        <v>27.92</v>
      </c>
      <c r="I440" s="6" t="s">
        <v>11</v>
      </c>
    </row>
    <row r="441" spans="1:9" x14ac:dyDescent="0.35">
      <c r="A441" s="34">
        <v>45421</v>
      </c>
      <c r="B441" s="34" t="str">
        <f t="shared" si="13"/>
        <v>May</v>
      </c>
      <c r="C441" s="4" t="str">
        <f t="shared" si="12"/>
        <v>Thursday</v>
      </c>
      <c r="D441" s="5">
        <v>45421.70572903935</v>
      </c>
      <c r="E441" s="6" t="str" cm="1">
        <f t="array" ref="E441">_xlfn.IFS(HOUR(D441)&gt;=20,"20-24 ",HOUR(D441)&gt;=16,"16-20",HOUR(D441)&gt;=12,"12-16",HOUR(D441)&lt;12,"7-12")</f>
        <v>16-20</v>
      </c>
      <c r="F441" s="6" t="s">
        <v>3</v>
      </c>
      <c r="G441" s="6" t="s">
        <v>132</v>
      </c>
      <c r="H441" s="6">
        <v>27.92</v>
      </c>
      <c r="I441" s="6" t="s">
        <v>11</v>
      </c>
    </row>
    <row r="442" spans="1:9" x14ac:dyDescent="0.35">
      <c r="A442" s="34">
        <v>45421</v>
      </c>
      <c r="B442" s="34" t="str">
        <f t="shared" si="13"/>
        <v>May</v>
      </c>
      <c r="C442" s="4" t="str">
        <f t="shared" si="12"/>
        <v>Thursday</v>
      </c>
      <c r="D442" s="5">
        <v>45421.751040451389</v>
      </c>
      <c r="E442" s="6" t="str" cm="1">
        <f t="array" ref="E442">_xlfn.IFS(HOUR(D442)&gt;=20,"20-24 ",HOUR(D442)&gt;=16,"16-20",HOUR(D442)&gt;=12,"12-16",HOUR(D442)&lt;12,"7-12")</f>
        <v>16-20</v>
      </c>
      <c r="F442" s="6" t="s">
        <v>3</v>
      </c>
      <c r="G442" s="6" t="s">
        <v>171</v>
      </c>
      <c r="H442" s="6">
        <v>27.92</v>
      </c>
      <c r="I442" s="6" t="s">
        <v>11</v>
      </c>
    </row>
    <row r="443" spans="1:9" x14ac:dyDescent="0.35">
      <c r="A443" s="34">
        <v>45421</v>
      </c>
      <c r="B443" s="34" t="str">
        <f t="shared" si="13"/>
        <v>May</v>
      </c>
      <c r="C443" s="4" t="str">
        <f t="shared" si="12"/>
        <v>Thursday</v>
      </c>
      <c r="D443" s="5">
        <v>45421.759678541668</v>
      </c>
      <c r="E443" s="6" t="str" cm="1">
        <f t="array" ref="E443">_xlfn.IFS(HOUR(D443)&gt;=20,"20-24 ",HOUR(D443)&gt;=16,"16-20",HOUR(D443)&gt;=12,"12-16",HOUR(D443)&lt;12,"7-12")</f>
        <v>16-20</v>
      </c>
      <c r="F443" s="6" t="s">
        <v>3</v>
      </c>
      <c r="G443" s="6" t="s">
        <v>157</v>
      </c>
      <c r="H443" s="6">
        <v>32.82</v>
      </c>
      <c r="I443" s="6" t="s">
        <v>14</v>
      </c>
    </row>
    <row r="444" spans="1:9" x14ac:dyDescent="0.35">
      <c r="A444" s="34">
        <v>45422</v>
      </c>
      <c r="B444" s="34" t="str">
        <f t="shared" si="13"/>
        <v>May</v>
      </c>
      <c r="C444" s="4" t="str">
        <f t="shared" si="12"/>
        <v>Friday</v>
      </c>
      <c r="D444" s="5">
        <v>45422.423170972223</v>
      </c>
      <c r="E444" s="6" t="str" cm="1">
        <f t="array" ref="E444">_xlfn.IFS(HOUR(D444)&gt;=20,"20-24 ",HOUR(D444)&gt;=16,"16-20",HOUR(D444)&gt;=12,"12-16",HOUR(D444)&lt;12,"7-12")</f>
        <v>7-12</v>
      </c>
      <c r="F444" s="6" t="s">
        <v>21</v>
      </c>
      <c r="G444" s="6" t="s">
        <v>463</v>
      </c>
      <c r="H444" s="6">
        <v>39</v>
      </c>
      <c r="I444" s="6" t="s">
        <v>7</v>
      </c>
    </row>
    <row r="445" spans="1:9" x14ac:dyDescent="0.35">
      <c r="A445" s="34">
        <v>45422</v>
      </c>
      <c r="B445" s="34" t="str">
        <f t="shared" si="13"/>
        <v>May</v>
      </c>
      <c r="C445" s="4" t="str">
        <f t="shared" si="12"/>
        <v>Friday</v>
      </c>
      <c r="D445" s="5">
        <v>45422.65719341435</v>
      </c>
      <c r="E445" s="6" t="str" cm="1">
        <f t="array" ref="E445">_xlfn.IFS(HOUR(D445)&gt;=20,"20-24 ",HOUR(D445)&gt;=16,"16-20",HOUR(D445)&gt;=12,"12-16",HOUR(D445)&lt;12,"7-12")</f>
        <v>12-16</v>
      </c>
      <c r="F445" s="6" t="s">
        <v>3</v>
      </c>
      <c r="G445" s="6" t="s">
        <v>172</v>
      </c>
      <c r="H445" s="6">
        <v>37.72</v>
      </c>
      <c r="I445" s="6" t="s">
        <v>7</v>
      </c>
    </row>
    <row r="446" spans="1:9" x14ac:dyDescent="0.35">
      <c r="A446" s="34">
        <v>45422</v>
      </c>
      <c r="B446" s="34" t="str">
        <f t="shared" si="13"/>
        <v>May</v>
      </c>
      <c r="C446" s="4" t="str">
        <f t="shared" si="12"/>
        <v>Friday</v>
      </c>
      <c r="D446" s="5">
        <v>45422.658015138892</v>
      </c>
      <c r="E446" s="6" t="str" cm="1">
        <f t="array" ref="E446">_xlfn.IFS(HOUR(D446)&gt;=20,"20-24 ",HOUR(D446)&gt;=16,"16-20",HOUR(D446)&gt;=12,"12-16",HOUR(D446)&lt;12,"7-12")</f>
        <v>12-16</v>
      </c>
      <c r="F446" s="6" t="s">
        <v>3</v>
      </c>
      <c r="G446" s="6" t="s">
        <v>172</v>
      </c>
      <c r="H446" s="6">
        <v>37.72</v>
      </c>
      <c r="I446" s="6" t="s">
        <v>7</v>
      </c>
    </row>
    <row r="447" spans="1:9" x14ac:dyDescent="0.35">
      <c r="A447" s="34">
        <v>45422</v>
      </c>
      <c r="B447" s="34" t="str">
        <f t="shared" si="13"/>
        <v>May</v>
      </c>
      <c r="C447" s="4" t="str">
        <f t="shared" si="12"/>
        <v>Friday</v>
      </c>
      <c r="D447" s="5">
        <v>45422.680730138891</v>
      </c>
      <c r="E447" s="6" t="str" cm="1">
        <f t="array" ref="E447">_xlfn.IFS(HOUR(D447)&gt;=20,"20-24 ",HOUR(D447)&gt;=16,"16-20",HOUR(D447)&gt;=12,"12-16",HOUR(D447)&lt;12,"7-12")</f>
        <v>16-20</v>
      </c>
      <c r="F447" s="6" t="s">
        <v>21</v>
      </c>
      <c r="G447" s="6" t="s">
        <v>463</v>
      </c>
      <c r="H447" s="6">
        <v>34</v>
      </c>
      <c r="I447" s="6" t="s">
        <v>14</v>
      </c>
    </row>
    <row r="448" spans="1:9" x14ac:dyDescent="0.35">
      <c r="A448" s="34">
        <v>45423</v>
      </c>
      <c r="B448" s="34" t="str">
        <f t="shared" si="13"/>
        <v>May</v>
      </c>
      <c r="C448" s="4" t="str">
        <f t="shared" si="12"/>
        <v>Saturday</v>
      </c>
      <c r="D448" s="5">
        <v>45423.486028680556</v>
      </c>
      <c r="E448" s="6" t="str" cm="1">
        <f t="array" ref="E448">_xlfn.IFS(HOUR(D448)&gt;=20,"20-24 ",HOUR(D448)&gt;=16,"16-20",HOUR(D448)&gt;=12,"12-16",HOUR(D448)&lt;12,"7-12")</f>
        <v>7-12</v>
      </c>
      <c r="F448" s="6" t="s">
        <v>3</v>
      </c>
      <c r="G448" s="6" t="s">
        <v>83</v>
      </c>
      <c r="H448" s="6">
        <v>37.72</v>
      </c>
      <c r="I448" s="6" t="s">
        <v>7</v>
      </c>
    </row>
    <row r="449" spans="1:9" x14ac:dyDescent="0.35">
      <c r="A449" s="34">
        <v>45423</v>
      </c>
      <c r="B449" s="34" t="str">
        <f t="shared" si="13"/>
        <v>May</v>
      </c>
      <c r="C449" s="4" t="str">
        <f t="shared" si="12"/>
        <v>Saturday</v>
      </c>
      <c r="D449" s="5">
        <v>45423.710227407406</v>
      </c>
      <c r="E449" s="6" t="str" cm="1">
        <f t="array" ref="E449">_xlfn.IFS(HOUR(D449)&gt;=20,"20-24 ",HOUR(D449)&gt;=16,"16-20",HOUR(D449)&gt;=12,"12-16",HOUR(D449)&lt;12,"7-12")</f>
        <v>16-20</v>
      </c>
      <c r="F449" s="6" t="s">
        <v>21</v>
      </c>
      <c r="G449" s="6" t="s">
        <v>463</v>
      </c>
      <c r="H449" s="6">
        <v>39</v>
      </c>
      <c r="I449" s="6" t="s">
        <v>7</v>
      </c>
    </row>
    <row r="450" spans="1:9" x14ac:dyDescent="0.35">
      <c r="A450" s="34">
        <v>45423</v>
      </c>
      <c r="B450" s="34" t="str">
        <f t="shared" si="13"/>
        <v>May</v>
      </c>
      <c r="C450" s="4" t="str">
        <f t="shared" ref="C450:C513" si="14">TEXT(A450,"ddddddddd")</f>
        <v>Saturday</v>
      </c>
      <c r="D450" s="5">
        <v>45423.722574050924</v>
      </c>
      <c r="E450" s="6" t="str" cm="1">
        <f t="array" ref="E450">_xlfn.IFS(HOUR(D450)&gt;=20,"20-24 ",HOUR(D450)&gt;=16,"16-20",HOUR(D450)&gt;=12,"12-16",HOUR(D450)&lt;12,"7-12")</f>
        <v>16-20</v>
      </c>
      <c r="F450" s="6" t="s">
        <v>3</v>
      </c>
      <c r="G450" s="6" t="s">
        <v>19</v>
      </c>
      <c r="H450" s="6">
        <v>32.82</v>
      </c>
      <c r="I450" s="6" t="s">
        <v>14</v>
      </c>
    </row>
    <row r="451" spans="1:9" x14ac:dyDescent="0.35">
      <c r="A451" s="34">
        <v>45423</v>
      </c>
      <c r="B451" s="34" t="str">
        <f t="shared" ref="B451:B514" si="15">TEXT(A451, "mmmm")</f>
        <v>May</v>
      </c>
      <c r="C451" s="4" t="str">
        <f t="shared" si="14"/>
        <v>Saturday</v>
      </c>
      <c r="D451" s="5">
        <v>45423.723566168985</v>
      </c>
      <c r="E451" s="6" t="str" cm="1">
        <f t="array" ref="E451">_xlfn.IFS(HOUR(D451)&gt;=20,"20-24 ",HOUR(D451)&gt;=16,"16-20",HOUR(D451)&gt;=12,"12-16",HOUR(D451)&lt;12,"7-12")</f>
        <v>16-20</v>
      </c>
      <c r="F451" s="6" t="s">
        <v>3</v>
      </c>
      <c r="G451" s="6" t="s">
        <v>39</v>
      </c>
      <c r="H451" s="6">
        <v>37.72</v>
      </c>
      <c r="I451" s="6" t="s">
        <v>18</v>
      </c>
    </row>
    <row r="452" spans="1:9" x14ac:dyDescent="0.35">
      <c r="A452" s="34">
        <v>45423</v>
      </c>
      <c r="B452" s="34" t="str">
        <f t="shared" si="15"/>
        <v>May</v>
      </c>
      <c r="C452" s="4" t="str">
        <f t="shared" si="14"/>
        <v>Saturday</v>
      </c>
      <c r="D452" s="5">
        <v>45423.724968761577</v>
      </c>
      <c r="E452" s="6" t="str" cm="1">
        <f t="array" ref="E452">_xlfn.IFS(HOUR(D452)&gt;=20,"20-24 ",HOUR(D452)&gt;=16,"16-20",HOUR(D452)&gt;=12,"12-16",HOUR(D452)&lt;12,"7-12")</f>
        <v>16-20</v>
      </c>
      <c r="F452" s="6" t="s">
        <v>3</v>
      </c>
      <c r="G452" s="6" t="s">
        <v>54</v>
      </c>
      <c r="H452" s="6">
        <v>37.72</v>
      </c>
      <c r="I452" s="6" t="s">
        <v>43</v>
      </c>
    </row>
    <row r="453" spans="1:9" x14ac:dyDescent="0.35">
      <c r="A453" s="34">
        <v>45423</v>
      </c>
      <c r="B453" s="34" t="str">
        <f t="shared" si="15"/>
        <v>May</v>
      </c>
      <c r="C453" s="4" t="str">
        <f t="shared" si="14"/>
        <v>Saturday</v>
      </c>
      <c r="D453" s="5">
        <v>45423.728404305555</v>
      </c>
      <c r="E453" s="6" t="str" cm="1">
        <f t="array" ref="E453">_xlfn.IFS(HOUR(D453)&gt;=20,"20-24 ",HOUR(D453)&gt;=16,"16-20",HOUR(D453)&gt;=12,"12-16",HOUR(D453)&lt;12,"7-12")</f>
        <v>16-20</v>
      </c>
      <c r="F453" s="6" t="s">
        <v>3</v>
      </c>
      <c r="G453" s="6" t="s">
        <v>23</v>
      </c>
      <c r="H453" s="6">
        <v>32.82</v>
      </c>
      <c r="I453" s="6" t="s">
        <v>14</v>
      </c>
    </row>
    <row r="454" spans="1:9" x14ac:dyDescent="0.35">
      <c r="A454" s="34">
        <v>45423</v>
      </c>
      <c r="B454" s="34" t="str">
        <f t="shared" si="15"/>
        <v>May</v>
      </c>
      <c r="C454" s="4" t="str">
        <f t="shared" si="14"/>
        <v>Saturday</v>
      </c>
      <c r="D454" s="5">
        <v>45423.774771493052</v>
      </c>
      <c r="E454" s="6" t="str" cm="1">
        <f t="array" ref="E454">_xlfn.IFS(HOUR(D454)&gt;=20,"20-24 ",HOUR(D454)&gt;=16,"16-20",HOUR(D454)&gt;=12,"12-16",HOUR(D454)&lt;12,"7-12")</f>
        <v>16-20</v>
      </c>
      <c r="F454" s="6" t="s">
        <v>3</v>
      </c>
      <c r="G454" s="6" t="s">
        <v>129</v>
      </c>
      <c r="H454" s="6">
        <v>37.72</v>
      </c>
      <c r="I454" s="6" t="s">
        <v>43</v>
      </c>
    </row>
    <row r="455" spans="1:9" x14ac:dyDescent="0.35">
      <c r="A455" s="34">
        <v>45423</v>
      </c>
      <c r="B455" s="34" t="str">
        <f t="shared" si="15"/>
        <v>May</v>
      </c>
      <c r="C455" s="4" t="str">
        <f t="shared" si="14"/>
        <v>Saturday</v>
      </c>
      <c r="D455" s="5">
        <v>45423.818241851855</v>
      </c>
      <c r="E455" s="6" t="str" cm="1">
        <f t="array" ref="E455">_xlfn.IFS(HOUR(D455)&gt;=20,"20-24 ",HOUR(D455)&gt;=16,"16-20",HOUR(D455)&gt;=12,"12-16",HOUR(D455)&lt;12,"7-12")</f>
        <v>16-20</v>
      </c>
      <c r="F455" s="6" t="s">
        <v>3</v>
      </c>
      <c r="G455" s="6" t="s">
        <v>173</v>
      </c>
      <c r="H455" s="6">
        <v>37.72</v>
      </c>
      <c r="I455" s="6" t="s">
        <v>7</v>
      </c>
    </row>
    <row r="456" spans="1:9" x14ac:dyDescent="0.35">
      <c r="A456" s="34">
        <v>45424</v>
      </c>
      <c r="B456" s="34" t="str">
        <f t="shared" si="15"/>
        <v>May</v>
      </c>
      <c r="C456" s="4" t="str">
        <f t="shared" si="14"/>
        <v>Sunday</v>
      </c>
      <c r="D456" s="5">
        <v>45424.431047592596</v>
      </c>
      <c r="E456" s="6" t="str" cm="1">
        <f t="array" ref="E456">_xlfn.IFS(HOUR(D456)&gt;=20,"20-24 ",HOUR(D456)&gt;=16,"16-20",HOUR(D456)&gt;=12,"12-16",HOUR(D456)&lt;12,"7-12")</f>
        <v>7-12</v>
      </c>
      <c r="F456" s="6" t="s">
        <v>3</v>
      </c>
      <c r="G456" s="6" t="s">
        <v>6</v>
      </c>
      <c r="H456" s="6">
        <v>37.72</v>
      </c>
      <c r="I456" s="6" t="s">
        <v>7</v>
      </c>
    </row>
    <row r="457" spans="1:9" x14ac:dyDescent="0.35">
      <c r="A457" s="34">
        <v>45424</v>
      </c>
      <c r="B457" s="34" t="str">
        <f t="shared" si="15"/>
        <v>May</v>
      </c>
      <c r="C457" s="4" t="str">
        <f t="shared" si="14"/>
        <v>Sunday</v>
      </c>
      <c r="D457" s="5">
        <v>45424.558373437503</v>
      </c>
      <c r="E457" s="6" t="str" cm="1">
        <f t="array" ref="E457">_xlfn.IFS(HOUR(D457)&gt;=20,"20-24 ",HOUR(D457)&gt;=16,"16-20",HOUR(D457)&gt;=12,"12-16",HOUR(D457)&lt;12,"7-12")</f>
        <v>12-16</v>
      </c>
      <c r="F457" s="6" t="s">
        <v>3</v>
      </c>
      <c r="G457" s="6" t="s">
        <v>174</v>
      </c>
      <c r="H457" s="6">
        <v>37.72</v>
      </c>
      <c r="I457" s="6" t="s">
        <v>7</v>
      </c>
    </row>
    <row r="458" spans="1:9" x14ac:dyDescent="0.35">
      <c r="A458" s="34">
        <v>45424</v>
      </c>
      <c r="B458" s="34" t="str">
        <f t="shared" si="15"/>
        <v>May</v>
      </c>
      <c r="C458" s="4" t="str">
        <f t="shared" si="14"/>
        <v>Sunday</v>
      </c>
      <c r="D458" s="5">
        <v>45424.560868553242</v>
      </c>
      <c r="E458" s="6" t="str" cm="1">
        <f t="array" ref="E458">_xlfn.IFS(HOUR(D458)&gt;=20,"20-24 ",HOUR(D458)&gt;=16,"16-20",HOUR(D458)&gt;=12,"12-16",HOUR(D458)&lt;12,"7-12")</f>
        <v>12-16</v>
      </c>
      <c r="F458" s="6" t="s">
        <v>3</v>
      </c>
      <c r="G458" s="6" t="s">
        <v>175</v>
      </c>
      <c r="H458" s="6">
        <v>27.92</v>
      </c>
      <c r="I458" s="6" t="s">
        <v>11</v>
      </c>
    </row>
    <row r="459" spans="1:9" x14ac:dyDescent="0.35">
      <c r="A459" s="34">
        <v>45424</v>
      </c>
      <c r="B459" s="34" t="str">
        <f t="shared" si="15"/>
        <v>May</v>
      </c>
      <c r="C459" s="4" t="str">
        <f t="shared" si="14"/>
        <v>Sunday</v>
      </c>
      <c r="D459" s="5">
        <v>45424.63634045139</v>
      </c>
      <c r="E459" s="6" t="str" cm="1">
        <f t="array" ref="E459">_xlfn.IFS(HOUR(D459)&gt;=20,"20-24 ",HOUR(D459)&gt;=16,"16-20",HOUR(D459)&gt;=12,"12-16",HOUR(D459)&lt;12,"7-12")</f>
        <v>12-16</v>
      </c>
      <c r="F459" s="6" t="s">
        <v>3</v>
      </c>
      <c r="G459" s="6" t="s">
        <v>91</v>
      </c>
      <c r="H459" s="6">
        <v>37.72</v>
      </c>
      <c r="I459" s="6" t="s">
        <v>7</v>
      </c>
    </row>
    <row r="460" spans="1:9" x14ac:dyDescent="0.35">
      <c r="A460" s="34">
        <v>45424</v>
      </c>
      <c r="B460" s="34" t="str">
        <f t="shared" si="15"/>
        <v>May</v>
      </c>
      <c r="C460" s="4" t="str">
        <f t="shared" si="14"/>
        <v>Sunday</v>
      </c>
      <c r="D460" s="5">
        <v>45424.651416921297</v>
      </c>
      <c r="E460" s="6" t="str" cm="1">
        <f t="array" ref="E460">_xlfn.IFS(HOUR(D460)&gt;=20,"20-24 ",HOUR(D460)&gt;=16,"16-20",HOUR(D460)&gt;=12,"12-16",HOUR(D460)&lt;12,"7-12")</f>
        <v>12-16</v>
      </c>
      <c r="F460" s="6" t="s">
        <v>3</v>
      </c>
      <c r="G460" s="6" t="s">
        <v>176</v>
      </c>
      <c r="H460" s="6">
        <v>32.82</v>
      </c>
      <c r="I460" s="6" t="s">
        <v>14</v>
      </c>
    </row>
    <row r="461" spans="1:9" x14ac:dyDescent="0.35">
      <c r="A461" s="34">
        <v>45424</v>
      </c>
      <c r="B461" s="34" t="str">
        <f t="shared" si="15"/>
        <v>May</v>
      </c>
      <c r="C461" s="4" t="str">
        <f t="shared" si="14"/>
        <v>Sunday</v>
      </c>
      <c r="D461" s="5">
        <v>45424.661283229165</v>
      </c>
      <c r="E461" s="6" t="str" cm="1">
        <f t="array" ref="E461">_xlfn.IFS(HOUR(D461)&gt;=20,"20-24 ",HOUR(D461)&gt;=16,"16-20",HOUR(D461)&gt;=12,"12-16",HOUR(D461)&lt;12,"7-12")</f>
        <v>12-16</v>
      </c>
      <c r="F461" s="6" t="s">
        <v>3</v>
      </c>
      <c r="G461" s="6" t="s">
        <v>177</v>
      </c>
      <c r="H461" s="6">
        <v>32.82</v>
      </c>
      <c r="I461" s="6" t="s">
        <v>14</v>
      </c>
    </row>
    <row r="462" spans="1:9" x14ac:dyDescent="0.35">
      <c r="A462" s="34">
        <v>45424</v>
      </c>
      <c r="B462" s="34" t="str">
        <f t="shared" si="15"/>
        <v>May</v>
      </c>
      <c r="C462" s="4" t="str">
        <f t="shared" si="14"/>
        <v>Sunday</v>
      </c>
      <c r="D462" s="5">
        <v>45424.66968903935</v>
      </c>
      <c r="E462" s="6" t="str" cm="1">
        <f t="array" ref="E462">_xlfn.IFS(HOUR(D462)&gt;=20,"20-24 ",HOUR(D462)&gt;=16,"16-20",HOUR(D462)&gt;=12,"12-16",HOUR(D462)&lt;12,"7-12")</f>
        <v>16-20</v>
      </c>
      <c r="F462" s="6" t="s">
        <v>3</v>
      </c>
      <c r="G462" s="6" t="s">
        <v>23</v>
      </c>
      <c r="H462" s="6">
        <v>32.82</v>
      </c>
      <c r="I462" s="6" t="s">
        <v>14</v>
      </c>
    </row>
    <row r="463" spans="1:9" x14ac:dyDescent="0.35">
      <c r="A463" s="34">
        <v>45424</v>
      </c>
      <c r="B463" s="34" t="str">
        <f t="shared" si="15"/>
        <v>May</v>
      </c>
      <c r="C463" s="4" t="str">
        <f t="shared" si="14"/>
        <v>Sunday</v>
      </c>
      <c r="D463" s="5">
        <v>45424.820492696759</v>
      </c>
      <c r="E463" s="6" t="str" cm="1">
        <f t="array" ref="E463">_xlfn.IFS(HOUR(D463)&gt;=20,"20-24 ",HOUR(D463)&gt;=16,"16-20",HOUR(D463)&gt;=12,"12-16",HOUR(D463)&lt;12,"7-12")</f>
        <v>16-20</v>
      </c>
      <c r="F463" s="6" t="s">
        <v>3</v>
      </c>
      <c r="G463" s="6" t="s">
        <v>19</v>
      </c>
      <c r="H463" s="6">
        <v>32.82</v>
      </c>
      <c r="I463" s="6" t="s">
        <v>14</v>
      </c>
    </row>
    <row r="464" spans="1:9" x14ac:dyDescent="0.35">
      <c r="A464" s="34">
        <v>45425</v>
      </c>
      <c r="B464" s="34" t="str">
        <f t="shared" si="15"/>
        <v>May</v>
      </c>
      <c r="C464" s="4" t="str">
        <f t="shared" si="14"/>
        <v>Monday</v>
      </c>
      <c r="D464" s="5">
        <v>45425.461034120373</v>
      </c>
      <c r="E464" s="6" t="str" cm="1">
        <f t="array" ref="E464">_xlfn.IFS(HOUR(D464)&gt;=20,"20-24 ",HOUR(D464)&gt;=16,"16-20",HOUR(D464)&gt;=12,"12-16",HOUR(D464)&lt;12,"7-12")</f>
        <v>7-12</v>
      </c>
      <c r="F464" s="6" t="s">
        <v>3</v>
      </c>
      <c r="G464" s="6" t="s">
        <v>178</v>
      </c>
      <c r="H464" s="6">
        <v>32.82</v>
      </c>
      <c r="I464" s="6" t="s">
        <v>14</v>
      </c>
    </row>
    <row r="465" spans="1:9" x14ac:dyDescent="0.35">
      <c r="A465" s="34">
        <v>45425</v>
      </c>
      <c r="B465" s="34" t="str">
        <f t="shared" si="15"/>
        <v>May</v>
      </c>
      <c r="C465" s="4" t="str">
        <f t="shared" si="14"/>
        <v>Monday</v>
      </c>
      <c r="D465" s="5">
        <v>45425.64665234954</v>
      </c>
      <c r="E465" s="6" t="str" cm="1">
        <f t="array" ref="E465">_xlfn.IFS(HOUR(D465)&gt;=20,"20-24 ",HOUR(D465)&gt;=16,"16-20",HOUR(D465)&gt;=12,"12-16",HOUR(D465)&lt;12,"7-12")</f>
        <v>12-16</v>
      </c>
      <c r="F465" s="6" t="s">
        <v>21</v>
      </c>
      <c r="G465" s="6" t="s">
        <v>463</v>
      </c>
      <c r="H465" s="6">
        <v>29</v>
      </c>
      <c r="I465" s="6" t="s">
        <v>11</v>
      </c>
    </row>
    <row r="466" spans="1:9" x14ac:dyDescent="0.35">
      <c r="A466" s="34">
        <v>45425</v>
      </c>
      <c r="B466" s="34" t="str">
        <f t="shared" si="15"/>
        <v>May</v>
      </c>
      <c r="C466" s="4" t="str">
        <f t="shared" si="14"/>
        <v>Monday</v>
      </c>
      <c r="D466" s="5">
        <v>45425.647116979169</v>
      </c>
      <c r="E466" s="6" t="str" cm="1">
        <f t="array" ref="E466">_xlfn.IFS(HOUR(D466)&gt;=20,"20-24 ",HOUR(D466)&gt;=16,"16-20",HOUR(D466)&gt;=12,"12-16",HOUR(D466)&lt;12,"7-12")</f>
        <v>12-16</v>
      </c>
      <c r="F466" s="6" t="s">
        <v>21</v>
      </c>
      <c r="G466" s="6" t="s">
        <v>463</v>
      </c>
      <c r="H466" s="6">
        <v>29</v>
      </c>
      <c r="I466" s="6" t="s">
        <v>11</v>
      </c>
    </row>
    <row r="467" spans="1:9" x14ac:dyDescent="0.35">
      <c r="A467" s="34">
        <v>45426</v>
      </c>
      <c r="B467" s="34" t="str">
        <f t="shared" si="15"/>
        <v>May</v>
      </c>
      <c r="C467" s="4" t="str">
        <f t="shared" si="14"/>
        <v>Tuesday</v>
      </c>
      <c r="D467" s="5">
        <v>45426.359890983797</v>
      </c>
      <c r="E467" s="6" t="str" cm="1">
        <f t="array" ref="E467">_xlfn.IFS(HOUR(D467)&gt;=20,"20-24 ",HOUR(D467)&gt;=16,"16-20",HOUR(D467)&gt;=12,"12-16",HOUR(D467)&lt;12,"7-12")</f>
        <v>7-12</v>
      </c>
      <c r="F467" s="6" t="s">
        <v>3</v>
      </c>
      <c r="G467" s="6" t="s">
        <v>23</v>
      </c>
      <c r="H467" s="6">
        <v>27.92</v>
      </c>
      <c r="I467" s="6" t="s">
        <v>11</v>
      </c>
    </row>
    <row r="468" spans="1:9" x14ac:dyDescent="0.35">
      <c r="A468" s="34">
        <v>45426</v>
      </c>
      <c r="B468" s="34" t="str">
        <f t="shared" si="15"/>
        <v>May</v>
      </c>
      <c r="C468" s="4" t="str">
        <f t="shared" si="14"/>
        <v>Tuesday</v>
      </c>
      <c r="D468" s="5">
        <v>45426.360711284724</v>
      </c>
      <c r="E468" s="6" t="str" cm="1">
        <f t="array" ref="E468">_xlfn.IFS(HOUR(D468)&gt;=20,"20-24 ",HOUR(D468)&gt;=16,"16-20",HOUR(D468)&gt;=12,"12-16",HOUR(D468)&lt;12,"7-12")</f>
        <v>7-12</v>
      </c>
      <c r="F468" s="6" t="s">
        <v>3</v>
      </c>
      <c r="G468" s="6" t="s">
        <v>23</v>
      </c>
      <c r="H468" s="6">
        <v>27.92</v>
      </c>
      <c r="I468" s="6" t="s">
        <v>11</v>
      </c>
    </row>
    <row r="469" spans="1:9" x14ac:dyDescent="0.35">
      <c r="A469" s="34">
        <v>45426</v>
      </c>
      <c r="B469" s="34" t="str">
        <f t="shared" si="15"/>
        <v>May</v>
      </c>
      <c r="C469" s="4" t="str">
        <f t="shared" si="14"/>
        <v>Tuesday</v>
      </c>
      <c r="D469" s="5">
        <v>45426.361313472225</v>
      </c>
      <c r="E469" s="6" t="str" cm="1">
        <f t="array" ref="E469">_xlfn.IFS(HOUR(D469)&gt;=20,"20-24 ",HOUR(D469)&gt;=16,"16-20",HOUR(D469)&gt;=12,"12-16",HOUR(D469)&lt;12,"7-12")</f>
        <v>7-12</v>
      </c>
      <c r="F469" s="6" t="s">
        <v>3</v>
      </c>
      <c r="G469" s="6" t="s">
        <v>23</v>
      </c>
      <c r="H469" s="6">
        <v>27.92</v>
      </c>
      <c r="I469" s="6" t="s">
        <v>11</v>
      </c>
    </row>
    <row r="470" spans="1:9" x14ac:dyDescent="0.35">
      <c r="A470" s="34">
        <v>45426</v>
      </c>
      <c r="B470" s="34" t="str">
        <f t="shared" si="15"/>
        <v>May</v>
      </c>
      <c r="C470" s="4" t="str">
        <f t="shared" si="14"/>
        <v>Tuesday</v>
      </c>
      <c r="D470" s="5">
        <v>45426.430129328706</v>
      </c>
      <c r="E470" s="6" t="str" cm="1">
        <f t="array" ref="E470">_xlfn.IFS(HOUR(D470)&gt;=20,"20-24 ",HOUR(D470)&gt;=16,"16-20",HOUR(D470)&gt;=12,"12-16",HOUR(D470)&lt;12,"7-12")</f>
        <v>7-12</v>
      </c>
      <c r="F470" s="6" t="s">
        <v>3</v>
      </c>
      <c r="G470" s="6" t="s">
        <v>23</v>
      </c>
      <c r="H470" s="6">
        <v>37.72</v>
      </c>
      <c r="I470" s="6" t="s">
        <v>43</v>
      </c>
    </row>
    <row r="471" spans="1:9" x14ac:dyDescent="0.35">
      <c r="A471" s="34">
        <v>45426</v>
      </c>
      <c r="B471" s="34" t="str">
        <f t="shared" si="15"/>
        <v>May</v>
      </c>
      <c r="C471" s="4" t="str">
        <f t="shared" si="14"/>
        <v>Tuesday</v>
      </c>
      <c r="D471" s="5">
        <v>45426.480895509259</v>
      </c>
      <c r="E471" s="6" t="str" cm="1">
        <f t="array" ref="E471">_xlfn.IFS(HOUR(D471)&gt;=20,"20-24 ",HOUR(D471)&gt;=16,"16-20",HOUR(D471)&gt;=12,"12-16",HOUR(D471)&lt;12,"7-12")</f>
        <v>7-12</v>
      </c>
      <c r="F471" s="6" t="s">
        <v>3</v>
      </c>
      <c r="G471" s="6" t="s">
        <v>179</v>
      </c>
      <c r="H471" s="6">
        <v>37.72</v>
      </c>
      <c r="I471" s="6" t="s">
        <v>7</v>
      </c>
    </row>
    <row r="472" spans="1:9" x14ac:dyDescent="0.35">
      <c r="A472" s="34">
        <v>45426</v>
      </c>
      <c r="B472" s="34" t="str">
        <f t="shared" si="15"/>
        <v>May</v>
      </c>
      <c r="C472" s="4" t="str">
        <f t="shared" si="14"/>
        <v>Tuesday</v>
      </c>
      <c r="D472" s="5">
        <v>45426.482093182873</v>
      </c>
      <c r="E472" s="6" t="str" cm="1">
        <f t="array" ref="E472">_xlfn.IFS(HOUR(D472)&gt;=20,"20-24 ",HOUR(D472)&gt;=16,"16-20",HOUR(D472)&gt;=12,"12-16",HOUR(D472)&lt;12,"7-12")</f>
        <v>7-12</v>
      </c>
      <c r="F472" s="6" t="s">
        <v>3</v>
      </c>
      <c r="G472" s="6" t="s">
        <v>179</v>
      </c>
      <c r="H472" s="6">
        <v>37.72</v>
      </c>
      <c r="I472" s="6" t="s">
        <v>43</v>
      </c>
    </row>
    <row r="473" spans="1:9" x14ac:dyDescent="0.35">
      <c r="A473" s="34">
        <v>45426</v>
      </c>
      <c r="B473" s="34" t="str">
        <f t="shared" si="15"/>
        <v>May</v>
      </c>
      <c r="C473" s="4" t="str">
        <f t="shared" si="14"/>
        <v>Tuesday</v>
      </c>
      <c r="D473" s="5">
        <v>45426.586742824074</v>
      </c>
      <c r="E473" s="6" t="str" cm="1">
        <f t="array" ref="E473">_xlfn.IFS(HOUR(D473)&gt;=20,"20-24 ",HOUR(D473)&gt;=16,"16-20",HOUR(D473)&gt;=12,"12-16",HOUR(D473)&lt;12,"7-12")</f>
        <v>12-16</v>
      </c>
      <c r="F473" s="6" t="s">
        <v>3</v>
      </c>
      <c r="G473" s="6" t="s">
        <v>38</v>
      </c>
      <c r="H473" s="6">
        <v>37.72</v>
      </c>
      <c r="I473" s="6" t="s">
        <v>43</v>
      </c>
    </row>
    <row r="474" spans="1:9" x14ac:dyDescent="0.35">
      <c r="A474" s="34">
        <v>45426</v>
      </c>
      <c r="B474" s="34" t="str">
        <f t="shared" si="15"/>
        <v>May</v>
      </c>
      <c r="C474" s="4" t="str">
        <f t="shared" si="14"/>
        <v>Tuesday</v>
      </c>
      <c r="D474" s="5">
        <v>45426.587504374998</v>
      </c>
      <c r="E474" s="6" t="str" cm="1">
        <f t="array" ref="E474">_xlfn.IFS(HOUR(D474)&gt;=20,"20-24 ",HOUR(D474)&gt;=16,"16-20",HOUR(D474)&gt;=12,"12-16",HOUR(D474)&lt;12,"7-12")</f>
        <v>12-16</v>
      </c>
      <c r="F474" s="6" t="s">
        <v>3</v>
      </c>
      <c r="G474" s="6" t="s">
        <v>19</v>
      </c>
      <c r="H474" s="6">
        <v>32.82</v>
      </c>
      <c r="I474" s="6" t="s">
        <v>14</v>
      </c>
    </row>
    <row r="475" spans="1:9" x14ac:dyDescent="0.35">
      <c r="A475" s="34">
        <v>45426</v>
      </c>
      <c r="B475" s="34" t="str">
        <f t="shared" si="15"/>
        <v>May</v>
      </c>
      <c r="C475" s="4" t="str">
        <f t="shared" si="14"/>
        <v>Tuesday</v>
      </c>
      <c r="D475" s="5">
        <v>45426.626328530096</v>
      </c>
      <c r="E475" s="6" t="str" cm="1">
        <f t="array" ref="E475">_xlfn.IFS(HOUR(D475)&gt;=20,"20-24 ",HOUR(D475)&gt;=16,"16-20",HOUR(D475)&gt;=12,"12-16",HOUR(D475)&lt;12,"7-12")</f>
        <v>12-16</v>
      </c>
      <c r="F475" s="6" t="s">
        <v>3</v>
      </c>
      <c r="G475" s="6" t="s">
        <v>54</v>
      </c>
      <c r="H475" s="6">
        <v>27.92</v>
      </c>
      <c r="I475" s="6" t="s">
        <v>11</v>
      </c>
    </row>
    <row r="476" spans="1:9" x14ac:dyDescent="0.35">
      <c r="A476" s="34">
        <v>45426</v>
      </c>
      <c r="B476" s="34" t="str">
        <f t="shared" si="15"/>
        <v>May</v>
      </c>
      <c r="C476" s="4" t="str">
        <f t="shared" si="14"/>
        <v>Tuesday</v>
      </c>
      <c r="D476" s="5">
        <v>45426.706912314818</v>
      </c>
      <c r="E476" s="6" t="str" cm="1">
        <f t="array" ref="E476">_xlfn.IFS(HOUR(D476)&gt;=20,"20-24 ",HOUR(D476)&gt;=16,"16-20",HOUR(D476)&gt;=12,"12-16",HOUR(D476)&lt;12,"7-12")</f>
        <v>16-20</v>
      </c>
      <c r="F476" s="6" t="s">
        <v>3</v>
      </c>
      <c r="G476" s="6" t="s">
        <v>180</v>
      </c>
      <c r="H476" s="6">
        <v>32.82</v>
      </c>
      <c r="I476" s="6" t="s">
        <v>14</v>
      </c>
    </row>
    <row r="477" spans="1:9" x14ac:dyDescent="0.35">
      <c r="A477" s="34">
        <v>45426</v>
      </c>
      <c r="B477" s="34" t="str">
        <f t="shared" si="15"/>
        <v>May</v>
      </c>
      <c r="C477" s="4" t="str">
        <f t="shared" si="14"/>
        <v>Tuesday</v>
      </c>
      <c r="D477" s="5">
        <v>45426.707756875003</v>
      </c>
      <c r="E477" s="6" t="str" cm="1">
        <f t="array" ref="E477">_xlfn.IFS(HOUR(D477)&gt;=20,"20-24 ",HOUR(D477)&gt;=16,"16-20",HOUR(D477)&gt;=12,"12-16",HOUR(D477)&lt;12,"7-12")</f>
        <v>16-20</v>
      </c>
      <c r="F477" s="6" t="s">
        <v>3</v>
      </c>
      <c r="G477" s="6" t="s">
        <v>180</v>
      </c>
      <c r="H477" s="6">
        <v>37.72</v>
      </c>
      <c r="I477" s="6" t="s">
        <v>43</v>
      </c>
    </row>
    <row r="478" spans="1:9" x14ac:dyDescent="0.35">
      <c r="A478" s="34">
        <v>45426</v>
      </c>
      <c r="B478" s="34" t="str">
        <f t="shared" si="15"/>
        <v>May</v>
      </c>
      <c r="C478" s="4" t="str">
        <f t="shared" si="14"/>
        <v>Tuesday</v>
      </c>
      <c r="D478" s="5">
        <v>45426.952375312503</v>
      </c>
      <c r="E478" s="6" t="str" cm="1">
        <f t="array" ref="E478">_xlfn.IFS(HOUR(D478)&gt;=20,"20-24 ",HOUR(D478)&gt;=16,"16-20",HOUR(D478)&gt;=12,"12-16",HOUR(D478)&lt;12,"7-12")</f>
        <v xml:space="preserve">20-24 </v>
      </c>
      <c r="F478" s="6" t="s">
        <v>3</v>
      </c>
      <c r="G478" s="6" t="s">
        <v>181</v>
      </c>
      <c r="H478" s="6">
        <v>37.72</v>
      </c>
      <c r="I478" s="6" t="s">
        <v>9</v>
      </c>
    </row>
    <row r="479" spans="1:9" x14ac:dyDescent="0.35">
      <c r="A479" s="34">
        <v>45427</v>
      </c>
      <c r="B479" s="34" t="str">
        <f t="shared" si="15"/>
        <v>May</v>
      </c>
      <c r="C479" s="4" t="str">
        <f t="shared" si="14"/>
        <v>Wednesday</v>
      </c>
      <c r="D479" s="5">
        <v>45427.361176631945</v>
      </c>
      <c r="E479" s="6" t="str" cm="1">
        <f t="array" ref="E479">_xlfn.IFS(HOUR(D479)&gt;=20,"20-24 ",HOUR(D479)&gt;=16,"16-20",HOUR(D479)&gt;=12,"12-16",HOUR(D479)&lt;12,"7-12")</f>
        <v>7-12</v>
      </c>
      <c r="F479" s="6" t="s">
        <v>3</v>
      </c>
      <c r="G479" s="6" t="s">
        <v>182</v>
      </c>
      <c r="H479" s="6">
        <v>37.72</v>
      </c>
      <c r="I479" s="6" t="s">
        <v>7</v>
      </c>
    </row>
    <row r="480" spans="1:9" x14ac:dyDescent="0.35">
      <c r="A480" s="34">
        <v>45427</v>
      </c>
      <c r="B480" s="34" t="str">
        <f t="shared" si="15"/>
        <v>May</v>
      </c>
      <c r="C480" s="4" t="str">
        <f t="shared" si="14"/>
        <v>Wednesday</v>
      </c>
      <c r="D480" s="5">
        <v>45427.468279548608</v>
      </c>
      <c r="E480" s="6" t="str" cm="1">
        <f t="array" ref="E480">_xlfn.IFS(HOUR(D480)&gt;=20,"20-24 ",HOUR(D480)&gt;=16,"16-20",HOUR(D480)&gt;=12,"12-16",HOUR(D480)&lt;12,"7-12")</f>
        <v>7-12</v>
      </c>
      <c r="F480" s="6" t="s">
        <v>3</v>
      </c>
      <c r="G480" s="6" t="s">
        <v>23</v>
      </c>
      <c r="H480" s="6">
        <v>23.02</v>
      </c>
      <c r="I480" s="6" t="s">
        <v>35</v>
      </c>
    </row>
    <row r="481" spans="1:9" x14ac:dyDescent="0.35">
      <c r="A481" s="34">
        <v>45427</v>
      </c>
      <c r="B481" s="34" t="str">
        <f t="shared" si="15"/>
        <v>May</v>
      </c>
      <c r="C481" s="4" t="str">
        <f t="shared" si="14"/>
        <v>Wednesday</v>
      </c>
      <c r="D481" s="5">
        <v>45427.47164408565</v>
      </c>
      <c r="E481" s="6" t="str" cm="1">
        <f t="array" ref="E481">_xlfn.IFS(HOUR(D481)&gt;=20,"20-24 ",HOUR(D481)&gt;=16,"16-20",HOUR(D481)&gt;=12,"12-16",HOUR(D481)&lt;12,"7-12")</f>
        <v>7-12</v>
      </c>
      <c r="F481" s="6" t="s">
        <v>3</v>
      </c>
      <c r="G481" s="6" t="s">
        <v>23</v>
      </c>
      <c r="H481" s="6">
        <v>27.92</v>
      </c>
      <c r="I481" s="6" t="s">
        <v>11</v>
      </c>
    </row>
    <row r="482" spans="1:9" x14ac:dyDescent="0.35">
      <c r="A482" s="34">
        <v>45427</v>
      </c>
      <c r="B482" s="34" t="str">
        <f t="shared" si="15"/>
        <v>May</v>
      </c>
      <c r="C482" s="4" t="str">
        <f t="shared" si="14"/>
        <v>Wednesday</v>
      </c>
      <c r="D482" s="5">
        <v>45427.565684050925</v>
      </c>
      <c r="E482" s="6" t="str" cm="1">
        <f t="array" ref="E482">_xlfn.IFS(HOUR(D482)&gt;=20,"20-24 ",HOUR(D482)&gt;=16,"16-20",HOUR(D482)&gt;=12,"12-16",HOUR(D482)&lt;12,"7-12")</f>
        <v>12-16</v>
      </c>
      <c r="F482" s="6" t="s">
        <v>3</v>
      </c>
      <c r="G482" s="6" t="s">
        <v>10</v>
      </c>
      <c r="H482" s="6">
        <v>27.92</v>
      </c>
      <c r="I482" s="6" t="s">
        <v>11</v>
      </c>
    </row>
    <row r="483" spans="1:9" x14ac:dyDescent="0.35">
      <c r="A483" s="34">
        <v>45427</v>
      </c>
      <c r="B483" s="34" t="str">
        <f t="shared" si="15"/>
        <v>May</v>
      </c>
      <c r="C483" s="4" t="str">
        <f t="shared" si="14"/>
        <v>Wednesday</v>
      </c>
      <c r="D483" s="5">
        <v>45427.566309849535</v>
      </c>
      <c r="E483" s="6" t="str" cm="1">
        <f t="array" ref="E483">_xlfn.IFS(HOUR(D483)&gt;=20,"20-24 ",HOUR(D483)&gt;=16,"16-20",HOUR(D483)&gt;=12,"12-16",HOUR(D483)&lt;12,"7-12")</f>
        <v>12-16</v>
      </c>
      <c r="F483" s="6" t="s">
        <v>3</v>
      </c>
      <c r="G483" s="6" t="s">
        <v>10</v>
      </c>
      <c r="H483" s="6">
        <v>27.92</v>
      </c>
      <c r="I483" s="6" t="s">
        <v>11</v>
      </c>
    </row>
    <row r="484" spans="1:9" x14ac:dyDescent="0.35">
      <c r="A484" s="34">
        <v>45427</v>
      </c>
      <c r="B484" s="34" t="str">
        <f t="shared" si="15"/>
        <v>May</v>
      </c>
      <c r="C484" s="4" t="str">
        <f t="shared" si="14"/>
        <v>Wednesday</v>
      </c>
      <c r="D484" s="5">
        <v>45427.566983090277</v>
      </c>
      <c r="E484" s="6" t="str" cm="1">
        <f t="array" ref="E484">_xlfn.IFS(HOUR(D484)&gt;=20,"20-24 ",HOUR(D484)&gt;=16,"16-20",HOUR(D484)&gt;=12,"12-16",HOUR(D484)&lt;12,"7-12")</f>
        <v>12-16</v>
      </c>
      <c r="F484" s="6" t="s">
        <v>3</v>
      </c>
      <c r="G484" s="6" t="s">
        <v>10</v>
      </c>
      <c r="H484" s="6">
        <v>27.92</v>
      </c>
      <c r="I484" s="6" t="s">
        <v>11</v>
      </c>
    </row>
    <row r="485" spans="1:9" x14ac:dyDescent="0.35">
      <c r="A485" s="34">
        <v>45427</v>
      </c>
      <c r="B485" s="34" t="str">
        <f t="shared" si="15"/>
        <v>May</v>
      </c>
      <c r="C485" s="4" t="str">
        <f t="shared" si="14"/>
        <v>Wednesday</v>
      </c>
      <c r="D485" s="5">
        <v>45427.580196747687</v>
      </c>
      <c r="E485" s="6" t="str" cm="1">
        <f t="array" ref="E485">_xlfn.IFS(HOUR(D485)&gt;=20,"20-24 ",HOUR(D485)&gt;=16,"16-20",HOUR(D485)&gt;=12,"12-16",HOUR(D485)&lt;12,"7-12")</f>
        <v>12-16</v>
      </c>
      <c r="F485" s="6" t="s">
        <v>3</v>
      </c>
      <c r="G485" s="6" t="s">
        <v>178</v>
      </c>
      <c r="H485" s="6">
        <v>32.82</v>
      </c>
      <c r="I485" s="6" t="s">
        <v>14</v>
      </c>
    </row>
    <row r="486" spans="1:9" x14ac:dyDescent="0.35">
      <c r="A486" s="34">
        <v>45427</v>
      </c>
      <c r="B486" s="34" t="str">
        <f t="shared" si="15"/>
        <v>May</v>
      </c>
      <c r="C486" s="4" t="str">
        <f t="shared" si="14"/>
        <v>Wednesday</v>
      </c>
      <c r="D486" s="5">
        <v>45427.609847766202</v>
      </c>
      <c r="E486" s="6" t="str" cm="1">
        <f t="array" ref="E486">_xlfn.IFS(HOUR(D486)&gt;=20,"20-24 ",HOUR(D486)&gt;=16,"16-20",HOUR(D486)&gt;=12,"12-16",HOUR(D486)&lt;12,"7-12")</f>
        <v>12-16</v>
      </c>
      <c r="F486" s="6" t="s">
        <v>21</v>
      </c>
      <c r="G486" s="6" t="s">
        <v>463</v>
      </c>
      <c r="H486" s="6">
        <v>29</v>
      </c>
      <c r="I486" s="6" t="s">
        <v>11</v>
      </c>
    </row>
    <row r="487" spans="1:9" x14ac:dyDescent="0.35">
      <c r="A487" s="34">
        <v>45427</v>
      </c>
      <c r="B487" s="34" t="str">
        <f t="shared" si="15"/>
        <v>May</v>
      </c>
      <c r="C487" s="4" t="str">
        <f t="shared" si="14"/>
        <v>Wednesday</v>
      </c>
      <c r="D487" s="5">
        <v>45427.610328090275</v>
      </c>
      <c r="E487" s="6" t="str" cm="1">
        <f t="array" ref="E487">_xlfn.IFS(HOUR(D487)&gt;=20,"20-24 ",HOUR(D487)&gt;=16,"16-20",HOUR(D487)&gt;=12,"12-16",HOUR(D487)&lt;12,"7-12")</f>
        <v>12-16</v>
      </c>
      <c r="F487" s="6" t="s">
        <v>3</v>
      </c>
      <c r="G487" s="6" t="s">
        <v>183</v>
      </c>
      <c r="H487" s="6">
        <v>27.92</v>
      </c>
      <c r="I487" s="6" t="s">
        <v>28</v>
      </c>
    </row>
    <row r="488" spans="1:9" x14ac:dyDescent="0.35">
      <c r="A488" s="34">
        <v>45427</v>
      </c>
      <c r="B488" s="34" t="str">
        <f t="shared" si="15"/>
        <v>May</v>
      </c>
      <c r="C488" s="4" t="str">
        <f t="shared" si="14"/>
        <v>Wednesday</v>
      </c>
      <c r="D488" s="5">
        <v>45427.610930173614</v>
      </c>
      <c r="E488" s="6" t="str" cm="1">
        <f t="array" ref="E488">_xlfn.IFS(HOUR(D488)&gt;=20,"20-24 ",HOUR(D488)&gt;=16,"16-20",HOUR(D488)&gt;=12,"12-16",HOUR(D488)&lt;12,"7-12")</f>
        <v>12-16</v>
      </c>
      <c r="F488" s="6" t="s">
        <v>3</v>
      </c>
      <c r="G488" s="6" t="s">
        <v>23</v>
      </c>
      <c r="H488" s="6">
        <v>27.92</v>
      </c>
      <c r="I488" s="6" t="s">
        <v>28</v>
      </c>
    </row>
    <row r="489" spans="1:9" x14ac:dyDescent="0.35">
      <c r="A489" s="34">
        <v>45427</v>
      </c>
      <c r="B489" s="34" t="str">
        <f t="shared" si="15"/>
        <v>May</v>
      </c>
      <c r="C489" s="4" t="str">
        <f t="shared" si="14"/>
        <v>Wednesday</v>
      </c>
      <c r="D489" s="5">
        <v>45427.728456249999</v>
      </c>
      <c r="E489" s="6" t="str" cm="1">
        <f t="array" ref="E489">_xlfn.IFS(HOUR(D489)&gt;=20,"20-24 ",HOUR(D489)&gt;=16,"16-20",HOUR(D489)&gt;=12,"12-16",HOUR(D489)&lt;12,"7-12")</f>
        <v>16-20</v>
      </c>
      <c r="F489" s="6" t="s">
        <v>3</v>
      </c>
      <c r="G489" s="6" t="s">
        <v>184</v>
      </c>
      <c r="H489" s="6">
        <v>23.02</v>
      </c>
      <c r="I489" s="6" t="s">
        <v>35</v>
      </c>
    </row>
    <row r="490" spans="1:9" x14ac:dyDescent="0.35">
      <c r="A490" s="34">
        <v>45427</v>
      </c>
      <c r="B490" s="34" t="str">
        <f t="shared" si="15"/>
        <v>May</v>
      </c>
      <c r="C490" s="4" t="str">
        <f t="shared" si="14"/>
        <v>Wednesday</v>
      </c>
      <c r="D490" s="5">
        <v>45427.847624641203</v>
      </c>
      <c r="E490" s="6" t="str" cm="1">
        <f t="array" ref="E490">_xlfn.IFS(HOUR(D490)&gt;=20,"20-24 ",HOUR(D490)&gt;=16,"16-20",HOUR(D490)&gt;=12,"12-16",HOUR(D490)&lt;12,"7-12")</f>
        <v xml:space="preserve">20-24 </v>
      </c>
      <c r="F490" s="6" t="s">
        <v>3</v>
      </c>
      <c r="G490" s="6" t="s">
        <v>185</v>
      </c>
      <c r="H490" s="6">
        <v>37.72</v>
      </c>
      <c r="I490" s="6" t="s">
        <v>43</v>
      </c>
    </row>
    <row r="491" spans="1:9" x14ac:dyDescent="0.35">
      <c r="A491" s="34">
        <v>45428</v>
      </c>
      <c r="B491" s="34" t="str">
        <f t="shared" si="15"/>
        <v>May</v>
      </c>
      <c r="C491" s="4" t="str">
        <f t="shared" si="14"/>
        <v>Thursday</v>
      </c>
      <c r="D491" s="5">
        <v>45428.443546967595</v>
      </c>
      <c r="E491" s="6" t="str" cm="1">
        <f t="array" ref="E491">_xlfn.IFS(HOUR(D491)&gt;=20,"20-24 ",HOUR(D491)&gt;=16,"16-20",HOUR(D491)&gt;=12,"12-16",HOUR(D491)&lt;12,"7-12")</f>
        <v>7-12</v>
      </c>
      <c r="F491" s="6" t="s">
        <v>3</v>
      </c>
      <c r="G491" s="6" t="s">
        <v>111</v>
      </c>
      <c r="H491" s="6">
        <v>32.82</v>
      </c>
      <c r="I491" s="6" t="s">
        <v>14</v>
      </c>
    </row>
    <row r="492" spans="1:9" x14ac:dyDescent="0.35">
      <c r="A492" s="34">
        <v>45428</v>
      </c>
      <c r="B492" s="34" t="str">
        <f t="shared" si="15"/>
        <v>May</v>
      </c>
      <c r="C492" s="4" t="str">
        <f t="shared" si="14"/>
        <v>Thursday</v>
      </c>
      <c r="D492" s="5">
        <v>45428.444322118055</v>
      </c>
      <c r="E492" s="6" t="str" cm="1">
        <f t="array" ref="E492">_xlfn.IFS(HOUR(D492)&gt;=20,"20-24 ",HOUR(D492)&gt;=16,"16-20",HOUR(D492)&gt;=12,"12-16",HOUR(D492)&lt;12,"7-12")</f>
        <v>7-12</v>
      </c>
      <c r="F492" s="6" t="s">
        <v>3</v>
      </c>
      <c r="G492" s="6" t="s">
        <v>186</v>
      </c>
      <c r="H492" s="6">
        <v>32.82</v>
      </c>
      <c r="I492" s="6" t="s">
        <v>14</v>
      </c>
    </row>
    <row r="493" spans="1:9" x14ac:dyDescent="0.35">
      <c r="A493" s="34">
        <v>45428</v>
      </c>
      <c r="B493" s="34" t="str">
        <f t="shared" si="15"/>
        <v>May</v>
      </c>
      <c r="C493" s="4" t="str">
        <f t="shared" si="14"/>
        <v>Thursday</v>
      </c>
      <c r="D493" s="5">
        <v>45428.488082002317</v>
      </c>
      <c r="E493" s="6" t="str" cm="1">
        <f t="array" ref="E493">_xlfn.IFS(HOUR(D493)&gt;=20,"20-24 ",HOUR(D493)&gt;=16,"16-20",HOUR(D493)&gt;=12,"12-16",HOUR(D493)&lt;12,"7-12")</f>
        <v>7-12</v>
      </c>
      <c r="F493" s="6" t="s">
        <v>21</v>
      </c>
      <c r="G493" s="6" t="s">
        <v>463</v>
      </c>
      <c r="H493" s="6">
        <v>39</v>
      </c>
      <c r="I493" s="6" t="s">
        <v>7</v>
      </c>
    </row>
    <row r="494" spans="1:9" x14ac:dyDescent="0.35">
      <c r="A494" s="34">
        <v>45428</v>
      </c>
      <c r="B494" s="34" t="str">
        <f t="shared" si="15"/>
        <v>May</v>
      </c>
      <c r="C494" s="4" t="str">
        <f t="shared" si="14"/>
        <v>Thursday</v>
      </c>
      <c r="D494" s="5">
        <v>45428.489129756941</v>
      </c>
      <c r="E494" s="6" t="str" cm="1">
        <f t="array" ref="E494">_xlfn.IFS(HOUR(D494)&gt;=20,"20-24 ",HOUR(D494)&gt;=16,"16-20",HOUR(D494)&gt;=12,"12-16",HOUR(D494)&lt;12,"7-12")</f>
        <v>7-12</v>
      </c>
      <c r="F494" s="6" t="s">
        <v>21</v>
      </c>
      <c r="G494" s="6" t="s">
        <v>463</v>
      </c>
      <c r="H494" s="6">
        <v>39</v>
      </c>
      <c r="I494" s="6" t="s">
        <v>43</v>
      </c>
    </row>
    <row r="495" spans="1:9" x14ac:dyDescent="0.35">
      <c r="A495" s="34">
        <v>45428</v>
      </c>
      <c r="B495" s="34" t="str">
        <f t="shared" si="15"/>
        <v>May</v>
      </c>
      <c r="C495" s="4" t="str">
        <f t="shared" si="14"/>
        <v>Thursday</v>
      </c>
      <c r="D495" s="5">
        <v>45428.509723344905</v>
      </c>
      <c r="E495" s="6" t="str" cm="1">
        <f t="array" ref="E495">_xlfn.IFS(HOUR(D495)&gt;=20,"20-24 ",HOUR(D495)&gt;=16,"16-20",HOUR(D495)&gt;=12,"12-16",HOUR(D495)&lt;12,"7-12")</f>
        <v>12-16</v>
      </c>
      <c r="F495" s="6" t="s">
        <v>3</v>
      </c>
      <c r="G495" s="6" t="s">
        <v>187</v>
      </c>
      <c r="H495" s="6">
        <v>32.82</v>
      </c>
      <c r="I495" s="6" t="s">
        <v>14</v>
      </c>
    </row>
    <row r="496" spans="1:9" x14ac:dyDescent="0.35">
      <c r="A496" s="34">
        <v>45428</v>
      </c>
      <c r="B496" s="34" t="str">
        <f t="shared" si="15"/>
        <v>May</v>
      </c>
      <c r="C496" s="4" t="str">
        <f t="shared" si="14"/>
        <v>Thursday</v>
      </c>
      <c r="D496" s="5">
        <v>45428.635605497686</v>
      </c>
      <c r="E496" s="6" t="str" cm="1">
        <f t="array" ref="E496">_xlfn.IFS(HOUR(D496)&gt;=20,"20-24 ",HOUR(D496)&gt;=16,"16-20",HOUR(D496)&gt;=12,"12-16",HOUR(D496)&lt;12,"7-12")</f>
        <v>12-16</v>
      </c>
      <c r="F496" s="6" t="s">
        <v>3</v>
      </c>
      <c r="G496" s="6" t="s">
        <v>188</v>
      </c>
      <c r="H496" s="6">
        <v>37.72</v>
      </c>
      <c r="I496" s="6" t="s">
        <v>9</v>
      </c>
    </row>
    <row r="497" spans="1:9" x14ac:dyDescent="0.35">
      <c r="A497" s="34">
        <v>45428</v>
      </c>
      <c r="B497" s="34" t="str">
        <f t="shared" si="15"/>
        <v>May</v>
      </c>
      <c r="C497" s="4" t="str">
        <f t="shared" si="14"/>
        <v>Thursday</v>
      </c>
      <c r="D497" s="5">
        <v>45428.73925402778</v>
      </c>
      <c r="E497" s="6" t="str" cm="1">
        <f t="array" ref="E497">_xlfn.IFS(HOUR(D497)&gt;=20,"20-24 ",HOUR(D497)&gt;=16,"16-20",HOUR(D497)&gt;=12,"12-16",HOUR(D497)&lt;12,"7-12")</f>
        <v>16-20</v>
      </c>
      <c r="F497" s="6" t="s">
        <v>3</v>
      </c>
      <c r="G497" s="6" t="s">
        <v>83</v>
      </c>
      <c r="H497" s="6">
        <v>37.72</v>
      </c>
      <c r="I497" s="6" t="s">
        <v>7</v>
      </c>
    </row>
    <row r="498" spans="1:9" x14ac:dyDescent="0.35">
      <c r="A498" s="34">
        <v>45428</v>
      </c>
      <c r="B498" s="34" t="str">
        <f t="shared" si="15"/>
        <v>May</v>
      </c>
      <c r="C498" s="4" t="str">
        <f t="shared" si="14"/>
        <v>Thursday</v>
      </c>
      <c r="D498" s="5">
        <v>45428.758992291667</v>
      </c>
      <c r="E498" s="6" t="str" cm="1">
        <f t="array" ref="E498">_xlfn.IFS(HOUR(D498)&gt;=20,"20-24 ",HOUR(D498)&gt;=16,"16-20",HOUR(D498)&gt;=12,"12-16",HOUR(D498)&lt;12,"7-12")</f>
        <v>16-20</v>
      </c>
      <c r="F498" s="6" t="s">
        <v>3</v>
      </c>
      <c r="G498" s="6" t="s">
        <v>189</v>
      </c>
      <c r="H498" s="6">
        <v>37.72</v>
      </c>
      <c r="I498" s="6" t="s">
        <v>9</v>
      </c>
    </row>
    <row r="499" spans="1:9" x14ac:dyDescent="0.35">
      <c r="A499" s="34">
        <v>45428</v>
      </c>
      <c r="B499" s="34" t="str">
        <f t="shared" si="15"/>
        <v>May</v>
      </c>
      <c r="C499" s="4" t="str">
        <f t="shared" si="14"/>
        <v>Thursday</v>
      </c>
      <c r="D499" s="5">
        <v>45428.759701284725</v>
      </c>
      <c r="E499" s="6" t="str" cm="1">
        <f t="array" ref="E499">_xlfn.IFS(HOUR(D499)&gt;=20,"20-24 ",HOUR(D499)&gt;=16,"16-20",HOUR(D499)&gt;=12,"12-16",HOUR(D499)&lt;12,"7-12")</f>
        <v>16-20</v>
      </c>
      <c r="F499" s="6" t="s">
        <v>3</v>
      </c>
      <c r="G499" s="6" t="s">
        <v>189</v>
      </c>
      <c r="H499" s="6">
        <v>37.72</v>
      </c>
      <c r="I499" s="6" t="s">
        <v>7</v>
      </c>
    </row>
    <row r="500" spans="1:9" x14ac:dyDescent="0.35">
      <c r="A500" s="34">
        <v>45429</v>
      </c>
      <c r="B500" s="34" t="str">
        <f t="shared" si="15"/>
        <v>May</v>
      </c>
      <c r="C500" s="4" t="str">
        <f t="shared" si="14"/>
        <v>Friday</v>
      </c>
      <c r="D500" s="5">
        <v>45429.37556083333</v>
      </c>
      <c r="E500" s="6" t="str" cm="1">
        <f t="array" ref="E500">_xlfn.IFS(HOUR(D500)&gt;=20,"20-24 ",HOUR(D500)&gt;=16,"16-20",HOUR(D500)&gt;=12,"12-16",HOUR(D500)&lt;12,"7-12")</f>
        <v>7-12</v>
      </c>
      <c r="F500" s="6" t="s">
        <v>3</v>
      </c>
      <c r="G500" s="6" t="s">
        <v>47</v>
      </c>
      <c r="H500" s="6">
        <v>27.92</v>
      </c>
      <c r="I500" s="6" t="s">
        <v>11</v>
      </c>
    </row>
    <row r="501" spans="1:9" x14ac:dyDescent="0.35">
      <c r="A501" s="34">
        <v>45429</v>
      </c>
      <c r="B501" s="34" t="str">
        <f t="shared" si="15"/>
        <v>May</v>
      </c>
      <c r="C501" s="4" t="str">
        <f t="shared" si="14"/>
        <v>Friday</v>
      </c>
      <c r="D501" s="5">
        <v>45429.479485567128</v>
      </c>
      <c r="E501" s="6" t="str" cm="1">
        <f t="array" ref="E501">_xlfn.IFS(HOUR(D501)&gt;=20,"20-24 ",HOUR(D501)&gt;=16,"16-20",HOUR(D501)&gt;=12,"12-16",HOUR(D501)&lt;12,"7-12")</f>
        <v>7-12</v>
      </c>
      <c r="F501" s="6" t="s">
        <v>3</v>
      </c>
      <c r="G501" s="6" t="s">
        <v>178</v>
      </c>
      <c r="H501" s="6">
        <v>32.82</v>
      </c>
      <c r="I501" s="6" t="s">
        <v>14</v>
      </c>
    </row>
    <row r="502" spans="1:9" x14ac:dyDescent="0.35">
      <c r="A502" s="34">
        <v>45429</v>
      </c>
      <c r="B502" s="34" t="str">
        <f t="shared" si="15"/>
        <v>May</v>
      </c>
      <c r="C502" s="4" t="str">
        <f t="shared" si="14"/>
        <v>Friday</v>
      </c>
      <c r="D502" s="5">
        <v>45429.623646527776</v>
      </c>
      <c r="E502" s="6" t="str" cm="1">
        <f t="array" ref="E502">_xlfn.IFS(HOUR(D502)&gt;=20,"20-24 ",HOUR(D502)&gt;=16,"16-20",HOUR(D502)&gt;=12,"12-16",HOUR(D502)&lt;12,"7-12")</f>
        <v>12-16</v>
      </c>
      <c r="F502" s="6" t="s">
        <v>21</v>
      </c>
      <c r="G502" s="6" t="s">
        <v>463</v>
      </c>
      <c r="H502" s="6">
        <v>34</v>
      </c>
      <c r="I502" s="6" t="s">
        <v>14</v>
      </c>
    </row>
    <row r="503" spans="1:9" x14ac:dyDescent="0.35">
      <c r="A503" s="34">
        <v>45429</v>
      </c>
      <c r="B503" s="34" t="str">
        <f t="shared" si="15"/>
        <v>May</v>
      </c>
      <c r="C503" s="4" t="str">
        <f t="shared" si="14"/>
        <v>Friday</v>
      </c>
      <c r="D503" s="5">
        <v>45429.830075625003</v>
      </c>
      <c r="E503" s="6" t="str" cm="1">
        <f t="array" ref="E503">_xlfn.IFS(HOUR(D503)&gt;=20,"20-24 ",HOUR(D503)&gt;=16,"16-20",HOUR(D503)&gt;=12,"12-16",HOUR(D503)&lt;12,"7-12")</f>
        <v>16-20</v>
      </c>
      <c r="F503" s="6" t="s">
        <v>3</v>
      </c>
      <c r="G503" s="6" t="s">
        <v>23</v>
      </c>
      <c r="H503" s="6">
        <v>32.82</v>
      </c>
      <c r="I503" s="6" t="s">
        <v>14</v>
      </c>
    </row>
    <row r="504" spans="1:9" x14ac:dyDescent="0.35">
      <c r="A504" s="34">
        <v>45429</v>
      </c>
      <c r="B504" s="34" t="str">
        <f t="shared" si="15"/>
        <v>May</v>
      </c>
      <c r="C504" s="4" t="str">
        <f t="shared" si="14"/>
        <v>Friday</v>
      </c>
      <c r="D504" s="5">
        <v>45429.831096655093</v>
      </c>
      <c r="E504" s="6" t="str" cm="1">
        <f t="array" ref="E504">_xlfn.IFS(HOUR(D504)&gt;=20,"20-24 ",HOUR(D504)&gt;=16,"16-20",HOUR(D504)&gt;=12,"12-16",HOUR(D504)&lt;12,"7-12")</f>
        <v>16-20</v>
      </c>
      <c r="F504" s="6" t="s">
        <v>3</v>
      </c>
      <c r="G504" s="6" t="s">
        <v>19</v>
      </c>
      <c r="H504" s="6">
        <v>37.72</v>
      </c>
      <c r="I504" s="6" t="s">
        <v>43</v>
      </c>
    </row>
    <row r="505" spans="1:9" x14ac:dyDescent="0.35">
      <c r="A505" s="34">
        <v>45429</v>
      </c>
      <c r="B505" s="34" t="str">
        <f t="shared" si="15"/>
        <v>May</v>
      </c>
      <c r="C505" s="4" t="str">
        <f t="shared" si="14"/>
        <v>Friday</v>
      </c>
      <c r="D505" s="5">
        <v>45429.859640393515</v>
      </c>
      <c r="E505" s="6" t="str" cm="1">
        <f t="array" ref="E505">_xlfn.IFS(HOUR(D505)&gt;=20,"20-24 ",HOUR(D505)&gt;=16,"16-20",HOUR(D505)&gt;=12,"12-16",HOUR(D505)&lt;12,"7-12")</f>
        <v xml:space="preserve">20-24 </v>
      </c>
      <c r="F505" s="6" t="s">
        <v>3</v>
      </c>
      <c r="G505" s="6" t="s">
        <v>190</v>
      </c>
      <c r="H505" s="6">
        <v>37.72</v>
      </c>
      <c r="I505" s="6" t="s">
        <v>43</v>
      </c>
    </row>
    <row r="506" spans="1:9" x14ac:dyDescent="0.35">
      <c r="A506" s="34">
        <v>45429</v>
      </c>
      <c r="B506" s="34" t="str">
        <f t="shared" si="15"/>
        <v>May</v>
      </c>
      <c r="C506" s="4" t="str">
        <f t="shared" si="14"/>
        <v>Friday</v>
      </c>
      <c r="D506" s="5">
        <v>45429.940865706019</v>
      </c>
      <c r="E506" s="6" t="str" cm="1">
        <f t="array" ref="E506">_xlfn.IFS(HOUR(D506)&gt;=20,"20-24 ",HOUR(D506)&gt;=16,"16-20",HOUR(D506)&gt;=12,"12-16",HOUR(D506)&lt;12,"7-12")</f>
        <v xml:space="preserve">20-24 </v>
      </c>
      <c r="F506" s="6" t="s">
        <v>3</v>
      </c>
      <c r="G506" s="6" t="s">
        <v>191</v>
      </c>
      <c r="H506" s="6">
        <v>27.92</v>
      </c>
      <c r="I506" s="6" t="s">
        <v>11</v>
      </c>
    </row>
    <row r="507" spans="1:9" x14ac:dyDescent="0.35">
      <c r="A507" s="34">
        <v>45429</v>
      </c>
      <c r="B507" s="34" t="str">
        <f t="shared" si="15"/>
        <v>May</v>
      </c>
      <c r="C507" s="4" t="str">
        <f t="shared" si="14"/>
        <v>Friday</v>
      </c>
      <c r="D507" s="5">
        <v>45429.942052743056</v>
      </c>
      <c r="E507" s="6" t="str" cm="1">
        <f t="array" ref="E507">_xlfn.IFS(HOUR(D507)&gt;=20,"20-24 ",HOUR(D507)&gt;=16,"16-20",HOUR(D507)&gt;=12,"12-16",HOUR(D507)&lt;12,"7-12")</f>
        <v xml:space="preserve">20-24 </v>
      </c>
      <c r="F507" s="6" t="s">
        <v>3</v>
      </c>
      <c r="G507" s="6" t="s">
        <v>192</v>
      </c>
      <c r="H507" s="6">
        <v>37.72</v>
      </c>
      <c r="I507" s="6" t="s">
        <v>7</v>
      </c>
    </row>
    <row r="508" spans="1:9" x14ac:dyDescent="0.35">
      <c r="A508" s="34">
        <v>45429</v>
      </c>
      <c r="B508" s="34" t="str">
        <f t="shared" si="15"/>
        <v>May</v>
      </c>
      <c r="C508" s="4" t="str">
        <f t="shared" si="14"/>
        <v>Friday</v>
      </c>
      <c r="D508" s="5">
        <v>45429.942856724534</v>
      </c>
      <c r="E508" s="6" t="str" cm="1">
        <f t="array" ref="E508">_xlfn.IFS(HOUR(D508)&gt;=20,"20-24 ",HOUR(D508)&gt;=16,"16-20",HOUR(D508)&gt;=12,"12-16",HOUR(D508)&lt;12,"7-12")</f>
        <v xml:space="preserve">20-24 </v>
      </c>
      <c r="F508" s="6" t="s">
        <v>3</v>
      </c>
      <c r="G508" s="6" t="s">
        <v>193</v>
      </c>
      <c r="H508" s="6">
        <v>37.72</v>
      </c>
      <c r="I508" s="6" t="s">
        <v>7</v>
      </c>
    </row>
    <row r="509" spans="1:9" x14ac:dyDescent="0.35">
      <c r="A509" s="34">
        <v>45430</v>
      </c>
      <c r="B509" s="34" t="str">
        <f t="shared" si="15"/>
        <v>May</v>
      </c>
      <c r="C509" s="4" t="str">
        <f t="shared" si="14"/>
        <v>Saturday</v>
      </c>
      <c r="D509" s="5">
        <v>45430.334466412038</v>
      </c>
      <c r="E509" s="6" t="str" cm="1">
        <f t="array" ref="E509">_xlfn.IFS(HOUR(D509)&gt;=20,"20-24 ",HOUR(D509)&gt;=16,"16-20",HOUR(D509)&gt;=12,"12-16",HOUR(D509)&lt;12,"7-12")</f>
        <v>7-12</v>
      </c>
      <c r="F509" s="6" t="s">
        <v>3</v>
      </c>
      <c r="G509" s="6" t="s">
        <v>194</v>
      </c>
      <c r="H509" s="6">
        <v>37.72</v>
      </c>
      <c r="I509" s="6" t="s">
        <v>43</v>
      </c>
    </row>
    <row r="510" spans="1:9" x14ac:dyDescent="0.35">
      <c r="A510" s="34">
        <v>45430</v>
      </c>
      <c r="B510" s="34" t="str">
        <f t="shared" si="15"/>
        <v>May</v>
      </c>
      <c r="C510" s="4" t="str">
        <f t="shared" si="14"/>
        <v>Saturday</v>
      </c>
      <c r="D510" s="5">
        <v>45430.335184710646</v>
      </c>
      <c r="E510" s="6" t="str" cm="1">
        <f t="array" ref="E510">_xlfn.IFS(HOUR(D510)&gt;=20,"20-24 ",HOUR(D510)&gt;=16,"16-20",HOUR(D510)&gt;=12,"12-16",HOUR(D510)&lt;12,"7-12")</f>
        <v>7-12</v>
      </c>
      <c r="F510" s="6" t="s">
        <v>3</v>
      </c>
      <c r="G510" s="6" t="s">
        <v>194</v>
      </c>
      <c r="H510" s="6">
        <v>37.72</v>
      </c>
      <c r="I510" s="6" t="s">
        <v>43</v>
      </c>
    </row>
    <row r="511" spans="1:9" x14ac:dyDescent="0.35">
      <c r="A511" s="34">
        <v>45430</v>
      </c>
      <c r="B511" s="34" t="str">
        <f t="shared" si="15"/>
        <v>May</v>
      </c>
      <c r="C511" s="4" t="str">
        <f t="shared" si="14"/>
        <v>Saturday</v>
      </c>
      <c r="D511" s="5">
        <v>45430.469399178241</v>
      </c>
      <c r="E511" s="6" t="str" cm="1">
        <f t="array" ref="E511">_xlfn.IFS(HOUR(D511)&gt;=20,"20-24 ",HOUR(D511)&gt;=16,"16-20",HOUR(D511)&gt;=12,"12-16",HOUR(D511)&lt;12,"7-12")</f>
        <v>7-12</v>
      </c>
      <c r="F511" s="6" t="s">
        <v>3</v>
      </c>
      <c r="G511" s="6" t="s">
        <v>195</v>
      </c>
      <c r="H511" s="6">
        <v>32.82</v>
      </c>
      <c r="I511" s="6" t="s">
        <v>14</v>
      </c>
    </row>
    <row r="512" spans="1:9" x14ac:dyDescent="0.35">
      <c r="A512" s="34">
        <v>45430</v>
      </c>
      <c r="B512" s="34" t="str">
        <f t="shared" si="15"/>
        <v>May</v>
      </c>
      <c r="C512" s="4" t="str">
        <f t="shared" si="14"/>
        <v>Saturday</v>
      </c>
      <c r="D512" s="5">
        <v>45430.700339976851</v>
      </c>
      <c r="E512" s="6" t="str" cm="1">
        <f t="array" ref="E512">_xlfn.IFS(HOUR(D512)&gt;=20,"20-24 ",HOUR(D512)&gt;=16,"16-20",HOUR(D512)&gt;=12,"12-16",HOUR(D512)&lt;12,"7-12")</f>
        <v>16-20</v>
      </c>
      <c r="F512" s="6" t="s">
        <v>3</v>
      </c>
      <c r="G512" s="6" t="s">
        <v>186</v>
      </c>
      <c r="H512" s="6">
        <v>32.82</v>
      </c>
      <c r="I512" s="6" t="s">
        <v>14</v>
      </c>
    </row>
    <row r="513" spans="1:9" x14ac:dyDescent="0.35">
      <c r="A513" s="34">
        <v>45430</v>
      </c>
      <c r="B513" s="34" t="str">
        <f t="shared" si="15"/>
        <v>May</v>
      </c>
      <c r="C513" s="4" t="str">
        <f t="shared" si="14"/>
        <v>Saturday</v>
      </c>
      <c r="D513" s="5">
        <v>45430.701008460645</v>
      </c>
      <c r="E513" s="6" t="str" cm="1">
        <f t="array" ref="E513">_xlfn.IFS(HOUR(D513)&gt;=20,"20-24 ",HOUR(D513)&gt;=16,"16-20",HOUR(D513)&gt;=12,"12-16",HOUR(D513)&lt;12,"7-12")</f>
        <v>16-20</v>
      </c>
      <c r="F513" s="6" t="s">
        <v>3</v>
      </c>
      <c r="G513" s="6" t="s">
        <v>111</v>
      </c>
      <c r="H513" s="6">
        <v>32.82</v>
      </c>
      <c r="I513" s="6" t="s">
        <v>14</v>
      </c>
    </row>
    <row r="514" spans="1:9" x14ac:dyDescent="0.35">
      <c r="A514" s="34">
        <v>45430</v>
      </c>
      <c r="B514" s="34" t="str">
        <f t="shared" si="15"/>
        <v>May</v>
      </c>
      <c r="C514" s="4" t="str">
        <f t="shared" ref="C514:C577" si="16">TEXT(A514,"ddddddddd")</f>
        <v>Saturday</v>
      </c>
      <c r="D514" s="5">
        <v>45430.83245613426</v>
      </c>
      <c r="E514" s="6" t="str" cm="1">
        <f t="array" ref="E514">_xlfn.IFS(HOUR(D514)&gt;=20,"20-24 ",HOUR(D514)&gt;=16,"16-20",HOUR(D514)&gt;=12,"12-16",HOUR(D514)&lt;12,"7-12")</f>
        <v>16-20</v>
      </c>
      <c r="F514" s="6" t="s">
        <v>3</v>
      </c>
      <c r="G514" s="6" t="s">
        <v>54</v>
      </c>
      <c r="H514" s="6">
        <v>32.82</v>
      </c>
      <c r="I514" s="6" t="s">
        <v>14</v>
      </c>
    </row>
    <row r="515" spans="1:9" x14ac:dyDescent="0.35">
      <c r="A515" s="34">
        <v>45430</v>
      </c>
      <c r="B515" s="34" t="str">
        <f t="shared" ref="B515:B578" si="17">TEXT(A515, "mmmm")</f>
        <v>May</v>
      </c>
      <c r="C515" s="4" t="str">
        <f t="shared" si="16"/>
        <v>Saturday</v>
      </c>
      <c r="D515" s="5">
        <v>45430.849225821759</v>
      </c>
      <c r="E515" s="6" t="str" cm="1">
        <f t="array" ref="E515">_xlfn.IFS(HOUR(D515)&gt;=20,"20-24 ",HOUR(D515)&gt;=16,"16-20",HOUR(D515)&gt;=12,"12-16",HOUR(D515)&lt;12,"7-12")</f>
        <v xml:space="preserve">20-24 </v>
      </c>
      <c r="F515" s="6" t="s">
        <v>3</v>
      </c>
      <c r="G515" s="6" t="s">
        <v>19</v>
      </c>
      <c r="H515" s="6">
        <v>37.72</v>
      </c>
      <c r="I515" s="6" t="s">
        <v>7</v>
      </c>
    </row>
    <row r="516" spans="1:9" x14ac:dyDescent="0.35">
      <c r="A516" s="34">
        <v>45430</v>
      </c>
      <c r="B516" s="34" t="str">
        <f t="shared" si="17"/>
        <v>May</v>
      </c>
      <c r="C516" s="4" t="str">
        <f t="shared" si="16"/>
        <v>Saturday</v>
      </c>
      <c r="D516" s="5">
        <v>45430.920456863423</v>
      </c>
      <c r="E516" s="6" t="str" cm="1">
        <f t="array" ref="E516">_xlfn.IFS(HOUR(D516)&gt;=20,"20-24 ",HOUR(D516)&gt;=16,"16-20",HOUR(D516)&gt;=12,"12-16",HOUR(D516)&lt;12,"7-12")</f>
        <v xml:space="preserve">20-24 </v>
      </c>
      <c r="F516" s="6" t="s">
        <v>21</v>
      </c>
      <c r="G516" s="6" t="s">
        <v>463</v>
      </c>
      <c r="H516" s="6">
        <v>39</v>
      </c>
      <c r="I516" s="6" t="s">
        <v>43</v>
      </c>
    </row>
    <row r="517" spans="1:9" x14ac:dyDescent="0.35">
      <c r="A517" s="34">
        <v>45431</v>
      </c>
      <c r="B517" s="34" t="str">
        <f t="shared" si="17"/>
        <v>May</v>
      </c>
      <c r="C517" s="4" t="str">
        <f t="shared" si="16"/>
        <v>Sunday</v>
      </c>
      <c r="D517" s="5">
        <v>45431.332387870367</v>
      </c>
      <c r="E517" s="6" t="str" cm="1">
        <f t="array" ref="E517">_xlfn.IFS(HOUR(D517)&gt;=20,"20-24 ",HOUR(D517)&gt;=16,"16-20",HOUR(D517)&gt;=12,"12-16",HOUR(D517)&lt;12,"7-12")</f>
        <v>7-12</v>
      </c>
      <c r="F517" s="6" t="s">
        <v>3</v>
      </c>
      <c r="G517" s="6" t="s">
        <v>196</v>
      </c>
      <c r="H517" s="6">
        <v>27.92</v>
      </c>
      <c r="I517" s="6" t="s">
        <v>11</v>
      </c>
    </row>
    <row r="518" spans="1:9" x14ac:dyDescent="0.35">
      <c r="A518" s="34">
        <v>45431</v>
      </c>
      <c r="B518" s="34" t="str">
        <f t="shared" si="17"/>
        <v>May</v>
      </c>
      <c r="C518" s="4" t="str">
        <f t="shared" si="16"/>
        <v>Sunday</v>
      </c>
      <c r="D518" s="5">
        <v>45431.333027187502</v>
      </c>
      <c r="E518" s="6" t="str" cm="1">
        <f t="array" ref="E518">_xlfn.IFS(HOUR(D518)&gt;=20,"20-24 ",HOUR(D518)&gt;=16,"16-20",HOUR(D518)&gt;=12,"12-16",HOUR(D518)&lt;12,"7-12")</f>
        <v>7-12</v>
      </c>
      <c r="F518" s="6" t="s">
        <v>3</v>
      </c>
      <c r="G518" s="6" t="s">
        <v>196</v>
      </c>
      <c r="H518" s="6">
        <v>27.92</v>
      </c>
      <c r="I518" s="6" t="s">
        <v>11</v>
      </c>
    </row>
    <row r="519" spans="1:9" x14ac:dyDescent="0.35">
      <c r="A519" s="34">
        <v>45431</v>
      </c>
      <c r="B519" s="34" t="str">
        <f t="shared" si="17"/>
        <v>May</v>
      </c>
      <c r="C519" s="4" t="str">
        <f t="shared" si="16"/>
        <v>Sunday</v>
      </c>
      <c r="D519" s="5">
        <v>45431.333739131944</v>
      </c>
      <c r="E519" s="6" t="str" cm="1">
        <f t="array" ref="E519">_xlfn.IFS(HOUR(D519)&gt;=20,"20-24 ",HOUR(D519)&gt;=16,"16-20",HOUR(D519)&gt;=12,"12-16",HOUR(D519)&lt;12,"7-12")</f>
        <v>7-12</v>
      </c>
      <c r="F519" s="6" t="s">
        <v>3</v>
      </c>
      <c r="G519" s="6" t="s">
        <v>197</v>
      </c>
      <c r="H519" s="6">
        <v>37.72</v>
      </c>
      <c r="I519" s="6" t="s">
        <v>43</v>
      </c>
    </row>
    <row r="520" spans="1:9" x14ac:dyDescent="0.35">
      <c r="A520" s="34">
        <v>45431</v>
      </c>
      <c r="B520" s="34" t="str">
        <f t="shared" si="17"/>
        <v>May</v>
      </c>
      <c r="C520" s="4" t="str">
        <f t="shared" si="16"/>
        <v>Sunday</v>
      </c>
      <c r="D520" s="5">
        <v>45431.395019942131</v>
      </c>
      <c r="E520" s="6" t="str" cm="1">
        <f t="array" ref="E520">_xlfn.IFS(HOUR(D520)&gt;=20,"20-24 ",HOUR(D520)&gt;=16,"16-20",HOUR(D520)&gt;=12,"12-16",HOUR(D520)&lt;12,"7-12")</f>
        <v>7-12</v>
      </c>
      <c r="F520" s="6" t="s">
        <v>21</v>
      </c>
      <c r="G520" s="6" t="s">
        <v>463</v>
      </c>
      <c r="H520" s="6">
        <v>24</v>
      </c>
      <c r="I520" s="6" t="s">
        <v>35</v>
      </c>
    </row>
    <row r="521" spans="1:9" x14ac:dyDescent="0.35">
      <c r="A521" s="34">
        <v>45431</v>
      </c>
      <c r="B521" s="34" t="str">
        <f t="shared" si="17"/>
        <v>May</v>
      </c>
      <c r="C521" s="4" t="str">
        <f t="shared" si="16"/>
        <v>Sunday</v>
      </c>
      <c r="D521" s="5">
        <v>45431.510030972226</v>
      </c>
      <c r="E521" s="6" t="str" cm="1">
        <f t="array" ref="E521">_xlfn.IFS(HOUR(D521)&gt;=20,"20-24 ",HOUR(D521)&gt;=16,"16-20",HOUR(D521)&gt;=12,"12-16",HOUR(D521)&lt;12,"7-12")</f>
        <v>12-16</v>
      </c>
      <c r="F521" s="6" t="s">
        <v>3</v>
      </c>
      <c r="G521" s="6" t="s">
        <v>198</v>
      </c>
      <c r="H521" s="6">
        <v>32.82</v>
      </c>
      <c r="I521" s="6" t="s">
        <v>14</v>
      </c>
    </row>
    <row r="522" spans="1:9" x14ac:dyDescent="0.35">
      <c r="A522" s="34">
        <v>45431</v>
      </c>
      <c r="B522" s="34" t="str">
        <f t="shared" si="17"/>
        <v>May</v>
      </c>
      <c r="C522" s="4" t="str">
        <f t="shared" si="16"/>
        <v>Sunday</v>
      </c>
      <c r="D522" s="5">
        <v>45431.613657974536</v>
      </c>
      <c r="E522" s="6" t="str" cm="1">
        <f t="array" ref="E522">_xlfn.IFS(HOUR(D522)&gt;=20,"20-24 ",HOUR(D522)&gt;=16,"16-20",HOUR(D522)&gt;=12,"12-16",HOUR(D522)&lt;12,"7-12")</f>
        <v>12-16</v>
      </c>
      <c r="F522" s="6" t="s">
        <v>3</v>
      </c>
      <c r="G522" s="6" t="s">
        <v>23</v>
      </c>
      <c r="H522" s="6">
        <v>27.92</v>
      </c>
      <c r="I522" s="6" t="s">
        <v>11</v>
      </c>
    </row>
    <row r="523" spans="1:9" x14ac:dyDescent="0.35">
      <c r="A523" s="34">
        <v>45431</v>
      </c>
      <c r="B523" s="34" t="str">
        <f t="shared" si="17"/>
        <v>May</v>
      </c>
      <c r="C523" s="4" t="str">
        <f t="shared" si="16"/>
        <v>Sunday</v>
      </c>
      <c r="D523" s="5">
        <v>45431.665951296294</v>
      </c>
      <c r="E523" s="6" t="str" cm="1">
        <f t="array" ref="E523">_xlfn.IFS(HOUR(D523)&gt;=20,"20-24 ",HOUR(D523)&gt;=16,"16-20",HOUR(D523)&gt;=12,"12-16",HOUR(D523)&lt;12,"7-12")</f>
        <v>12-16</v>
      </c>
      <c r="F523" s="6" t="s">
        <v>3</v>
      </c>
      <c r="G523" s="6" t="s">
        <v>199</v>
      </c>
      <c r="H523" s="6">
        <v>32.82</v>
      </c>
      <c r="I523" s="6" t="s">
        <v>14</v>
      </c>
    </row>
    <row r="524" spans="1:9" x14ac:dyDescent="0.35">
      <c r="A524" s="34">
        <v>45431</v>
      </c>
      <c r="B524" s="34" t="str">
        <f t="shared" si="17"/>
        <v>May</v>
      </c>
      <c r="C524" s="4" t="str">
        <f t="shared" si="16"/>
        <v>Sunday</v>
      </c>
      <c r="D524" s="5">
        <v>45431.758753518516</v>
      </c>
      <c r="E524" s="6" t="str" cm="1">
        <f t="array" ref="E524">_xlfn.IFS(HOUR(D524)&gt;=20,"20-24 ",HOUR(D524)&gt;=16,"16-20",HOUR(D524)&gt;=12,"12-16",HOUR(D524)&lt;12,"7-12")</f>
        <v>16-20</v>
      </c>
      <c r="F524" s="6" t="s">
        <v>3</v>
      </c>
      <c r="G524" s="6" t="s">
        <v>200</v>
      </c>
      <c r="H524" s="6">
        <v>32.82</v>
      </c>
      <c r="I524" s="6" t="s">
        <v>14</v>
      </c>
    </row>
    <row r="525" spans="1:9" x14ac:dyDescent="0.35">
      <c r="A525" s="34">
        <v>45431</v>
      </c>
      <c r="B525" s="34" t="str">
        <f t="shared" si="17"/>
        <v>May</v>
      </c>
      <c r="C525" s="4" t="str">
        <f t="shared" si="16"/>
        <v>Sunday</v>
      </c>
      <c r="D525" s="5">
        <v>45431.759580578706</v>
      </c>
      <c r="E525" s="6" t="str" cm="1">
        <f t="array" ref="E525">_xlfn.IFS(HOUR(D525)&gt;=20,"20-24 ",HOUR(D525)&gt;=16,"16-20",HOUR(D525)&gt;=12,"12-16",HOUR(D525)&lt;12,"7-12")</f>
        <v>16-20</v>
      </c>
      <c r="F525" s="6" t="s">
        <v>3</v>
      </c>
      <c r="G525" s="6" t="s">
        <v>200</v>
      </c>
      <c r="H525" s="6">
        <v>23.02</v>
      </c>
      <c r="I525" s="6" t="s">
        <v>35</v>
      </c>
    </row>
    <row r="526" spans="1:9" x14ac:dyDescent="0.35">
      <c r="A526" s="34">
        <v>45431</v>
      </c>
      <c r="B526" s="34" t="str">
        <f t="shared" si="17"/>
        <v>May</v>
      </c>
      <c r="C526" s="4" t="str">
        <f t="shared" si="16"/>
        <v>Sunday</v>
      </c>
      <c r="D526" s="5">
        <v>45431.761458587964</v>
      </c>
      <c r="E526" s="6" t="str" cm="1">
        <f t="array" ref="E526">_xlfn.IFS(HOUR(D526)&gt;=20,"20-24 ",HOUR(D526)&gt;=16,"16-20",HOUR(D526)&gt;=12,"12-16",HOUR(D526)&lt;12,"7-12")</f>
        <v>16-20</v>
      </c>
      <c r="F526" s="6" t="s">
        <v>3</v>
      </c>
      <c r="G526" s="6" t="s">
        <v>200</v>
      </c>
      <c r="H526" s="6">
        <v>37.72</v>
      </c>
      <c r="I526" s="6" t="s">
        <v>9</v>
      </c>
    </row>
    <row r="527" spans="1:9" x14ac:dyDescent="0.35">
      <c r="A527" s="34">
        <v>45431</v>
      </c>
      <c r="B527" s="34" t="str">
        <f t="shared" si="17"/>
        <v>May</v>
      </c>
      <c r="C527" s="4" t="str">
        <f t="shared" si="16"/>
        <v>Sunday</v>
      </c>
      <c r="D527" s="5">
        <v>45431.827164108799</v>
      </c>
      <c r="E527" s="6" t="str" cm="1">
        <f t="array" ref="E527">_xlfn.IFS(HOUR(D527)&gt;=20,"20-24 ",HOUR(D527)&gt;=16,"16-20",HOUR(D527)&gt;=12,"12-16",HOUR(D527)&lt;12,"7-12")</f>
        <v>16-20</v>
      </c>
      <c r="F527" s="6" t="s">
        <v>3</v>
      </c>
      <c r="G527" s="6" t="s">
        <v>201</v>
      </c>
      <c r="H527" s="6">
        <v>37.72</v>
      </c>
      <c r="I527" s="6" t="s">
        <v>43</v>
      </c>
    </row>
    <row r="528" spans="1:9" x14ac:dyDescent="0.35">
      <c r="A528" s="34">
        <v>45431</v>
      </c>
      <c r="B528" s="34" t="str">
        <f t="shared" si="17"/>
        <v>May</v>
      </c>
      <c r="C528" s="4" t="str">
        <f t="shared" si="16"/>
        <v>Sunday</v>
      </c>
      <c r="D528" s="5">
        <v>45431.885900011577</v>
      </c>
      <c r="E528" s="6" t="str" cm="1">
        <f t="array" ref="E528">_xlfn.IFS(HOUR(D528)&gt;=20,"20-24 ",HOUR(D528)&gt;=16,"16-20",HOUR(D528)&gt;=12,"12-16",HOUR(D528)&lt;12,"7-12")</f>
        <v xml:space="preserve">20-24 </v>
      </c>
      <c r="F528" s="6" t="s">
        <v>3</v>
      </c>
      <c r="G528" s="6" t="s">
        <v>202</v>
      </c>
      <c r="H528" s="6">
        <v>37.72</v>
      </c>
      <c r="I528" s="6" t="s">
        <v>43</v>
      </c>
    </row>
    <row r="529" spans="1:9" x14ac:dyDescent="0.35">
      <c r="A529" s="34">
        <v>45431</v>
      </c>
      <c r="B529" s="34" t="str">
        <f t="shared" si="17"/>
        <v>May</v>
      </c>
      <c r="C529" s="4" t="str">
        <f t="shared" si="16"/>
        <v>Sunday</v>
      </c>
      <c r="D529" s="5">
        <v>45431.887917835651</v>
      </c>
      <c r="E529" s="6" t="str" cm="1">
        <f t="array" ref="E529">_xlfn.IFS(HOUR(D529)&gt;=20,"20-24 ",HOUR(D529)&gt;=16,"16-20",HOUR(D529)&gt;=12,"12-16",HOUR(D529)&lt;12,"7-12")</f>
        <v xml:space="preserve">20-24 </v>
      </c>
      <c r="F529" s="6" t="s">
        <v>3</v>
      </c>
      <c r="G529" s="6" t="s">
        <v>203</v>
      </c>
      <c r="H529" s="6">
        <v>37.72</v>
      </c>
      <c r="I529" s="6" t="s">
        <v>43</v>
      </c>
    </row>
    <row r="530" spans="1:9" x14ac:dyDescent="0.35">
      <c r="A530" s="34">
        <v>45432</v>
      </c>
      <c r="B530" s="34" t="str">
        <f t="shared" si="17"/>
        <v>May</v>
      </c>
      <c r="C530" s="4" t="str">
        <f t="shared" si="16"/>
        <v>Monday</v>
      </c>
      <c r="D530" s="5">
        <v>45432.420823645836</v>
      </c>
      <c r="E530" s="6" t="str" cm="1">
        <f t="array" ref="E530">_xlfn.IFS(HOUR(D530)&gt;=20,"20-24 ",HOUR(D530)&gt;=16,"16-20",HOUR(D530)&gt;=12,"12-16",HOUR(D530)&lt;12,"7-12")</f>
        <v>7-12</v>
      </c>
      <c r="F530" s="6" t="s">
        <v>3</v>
      </c>
      <c r="G530" s="6" t="s">
        <v>204</v>
      </c>
      <c r="H530" s="6">
        <v>32.82</v>
      </c>
      <c r="I530" s="6" t="s">
        <v>14</v>
      </c>
    </row>
    <row r="531" spans="1:9" x14ac:dyDescent="0.35">
      <c r="A531" s="34">
        <v>45432</v>
      </c>
      <c r="B531" s="34" t="str">
        <f t="shared" si="17"/>
        <v>May</v>
      </c>
      <c r="C531" s="4" t="str">
        <f t="shared" si="16"/>
        <v>Monday</v>
      </c>
      <c r="D531" s="5">
        <v>45432.429072534724</v>
      </c>
      <c r="E531" s="6" t="str" cm="1">
        <f t="array" ref="E531">_xlfn.IFS(HOUR(D531)&gt;=20,"20-24 ",HOUR(D531)&gt;=16,"16-20",HOUR(D531)&gt;=12,"12-16",HOUR(D531)&lt;12,"7-12")</f>
        <v>7-12</v>
      </c>
      <c r="F531" s="6" t="s">
        <v>3</v>
      </c>
      <c r="G531" s="6" t="s">
        <v>205</v>
      </c>
      <c r="H531" s="6">
        <v>37.72</v>
      </c>
      <c r="I531" s="6" t="s">
        <v>7</v>
      </c>
    </row>
    <row r="532" spans="1:9" x14ac:dyDescent="0.35">
      <c r="A532" s="34">
        <v>45432</v>
      </c>
      <c r="B532" s="34" t="str">
        <f t="shared" si="17"/>
        <v>May</v>
      </c>
      <c r="C532" s="4" t="str">
        <f t="shared" si="16"/>
        <v>Monday</v>
      </c>
      <c r="D532" s="5">
        <v>45432.457504386577</v>
      </c>
      <c r="E532" s="6" t="str" cm="1">
        <f t="array" ref="E532">_xlfn.IFS(HOUR(D532)&gt;=20,"20-24 ",HOUR(D532)&gt;=16,"16-20",HOUR(D532)&gt;=12,"12-16",HOUR(D532)&lt;12,"7-12")</f>
        <v>7-12</v>
      </c>
      <c r="F532" s="6" t="s">
        <v>3</v>
      </c>
      <c r="G532" s="6" t="s">
        <v>6</v>
      </c>
      <c r="H532" s="6">
        <v>37.72</v>
      </c>
      <c r="I532" s="6" t="s">
        <v>7</v>
      </c>
    </row>
    <row r="533" spans="1:9" x14ac:dyDescent="0.35">
      <c r="A533" s="34">
        <v>45432</v>
      </c>
      <c r="B533" s="34" t="str">
        <f t="shared" si="17"/>
        <v>May</v>
      </c>
      <c r="C533" s="4" t="str">
        <f t="shared" si="16"/>
        <v>Monday</v>
      </c>
      <c r="D533" s="5">
        <v>45432.468939386577</v>
      </c>
      <c r="E533" s="6" t="str" cm="1">
        <f t="array" ref="E533">_xlfn.IFS(HOUR(D533)&gt;=20,"20-24 ",HOUR(D533)&gt;=16,"16-20",HOUR(D533)&gt;=12,"12-16",HOUR(D533)&lt;12,"7-12")</f>
        <v>7-12</v>
      </c>
      <c r="F533" s="6" t="s">
        <v>3</v>
      </c>
      <c r="G533" s="6" t="s">
        <v>157</v>
      </c>
      <c r="H533" s="6">
        <v>27.92</v>
      </c>
      <c r="I533" s="6" t="s">
        <v>11</v>
      </c>
    </row>
    <row r="534" spans="1:9" x14ac:dyDescent="0.35">
      <c r="A534" s="34">
        <v>45432</v>
      </c>
      <c r="B534" s="34" t="str">
        <f t="shared" si="17"/>
        <v>May</v>
      </c>
      <c r="C534" s="4" t="str">
        <f t="shared" si="16"/>
        <v>Monday</v>
      </c>
      <c r="D534" s="5">
        <v>45432.469671724539</v>
      </c>
      <c r="E534" s="6" t="str" cm="1">
        <f t="array" ref="E534">_xlfn.IFS(HOUR(D534)&gt;=20,"20-24 ",HOUR(D534)&gt;=16,"16-20",HOUR(D534)&gt;=12,"12-16",HOUR(D534)&lt;12,"7-12")</f>
        <v>7-12</v>
      </c>
      <c r="F534" s="6" t="s">
        <v>3</v>
      </c>
      <c r="G534" s="6" t="s">
        <v>157</v>
      </c>
      <c r="H534" s="6">
        <v>27.92</v>
      </c>
      <c r="I534" s="6" t="s">
        <v>11</v>
      </c>
    </row>
    <row r="535" spans="1:9" x14ac:dyDescent="0.35">
      <c r="A535" s="34">
        <v>45432</v>
      </c>
      <c r="B535" s="34" t="str">
        <f t="shared" si="17"/>
        <v>May</v>
      </c>
      <c r="C535" s="4" t="str">
        <f t="shared" si="16"/>
        <v>Monday</v>
      </c>
      <c r="D535" s="5">
        <v>45432.56057199074</v>
      </c>
      <c r="E535" s="6" t="str" cm="1">
        <f t="array" ref="E535">_xlfn.IFS(HOUR(D535)&gt;=20,"20-24 ",HOUR(D535)&gt;=16,"16-20",HOUR(D535)&gt;=12,"12-16",HOUR(D535)&lt;12,"7-12")</f>
        <v>12-16</v>
      </c>
      <c r="F535" s="6" t="s">
        <v>3</v>
      </c>
      <c r="G535" s="6" t="s">
        <v>10</v>
      </c>
      <c r="H535" s="6">
        <v>27.92</v>
      </c>
      <c r="I535" s="6" t="s">
        <v>11</v>
      </c>
    </row>
    <row r="536" spans="1:9" x14ac:dyDescent="0.35">
      <c r="A536" s="34">
        <v>45432</v>
      </c>
      <c r="B536" s="34" t="str">
        <f t="shared" si="17"/>
        <v>May</v>
      </c>
      <c r="C536" s="4" t="str">
        <f t="shared" si="16"/>
        <v>Monday</v>
      </c>
      <c r="D536" s="5">
        <v>45432.561231944448</v>
      </c>
      <c r="E536" s="6" t="str" cm="1">
        <f t="array" ref="E536">_xlfn.IFS(HOUR(D536)&gt;=20,"20-24 ",HOUR(D536)&gt;=16,"16-20",HOUR(D536)&gt;=12,"12-16",HOUR(D536)&lt;12,"7-12")</f>
        <v>12-16</v>
      </c>
      <c r="F536" s="6" t="s">
        <v>3</v>
      </c>
      <c r="G536" s="6" t="s">
        <v>10</v>
      </c>
      <c r="H536" s="6">
        <v>27.92</v>
      </c>
      <c r="I536" s="6" t="s">
        <v>11</v>
      </c>
    </row>
    <row r="537" spans="1:9" x14ac:dyDescent="0.35">
      <c r="A537" s="34">
        <v>45432</v>
      </c>
      <c r="B537" s="34" t="str">
        <f t="shared" si="17"/>
        <v>May</v>
      </c>
      <c r="C537" s="4" t="str">
        <f t="shared" si="16"/>
        <v>Monday</v>
      </c>
      <c r="D537" s="5">
        <v>45432.592581215278</v>
      </c>
      <c r="E537" s="6" t="str" cm="1">
        <f t="array" ref="E537">_xlfn.IFS(HOUR(D537)&gt;=20,"20-24 ",HOUR(D537)&gt;=16,"16-20",HOUR(D537)&gt;=12,"12-16",HOUR(D537)&lt;12,"7-12")</f>
        <v>12-16</v>
      </c>
      <c r="F537" s="6" t="s">
        <v>3</v>
      </c>
      <c r="G537" s="6" t="s">
        <v>206</v>
      </c>
      <c r="H537" s="6">
        <v>32.82</v>
      </c>
      <c r="I537" s="6" t="s">
        <v>14</v>
      </c>
    </row>
    <row r="538" spans="1:9" x14ac:dyDescent="0.35">
      <c r="A538" s="34">
        <v>45432</v>
      </c>
      <c r="B538" s="34" t="str">
        <f t="shared" si="17"/>
        <v>May</v>
      </c>
      <c r="C538" s="4" t="str">
        <f t="shared" si="16"/>
        <v>Monday</v>
      </c>
      <c r="D538" s="5">
        <v>45432.593418449076</v>
      </c>
      <c r="E538" s="6" t="str" cm="1">
        <f t="array" ref="E538">_xlfn.IFS(HOUR(D538)&gt;=20,"20-24 ",HOUR(D538)&gt;=16,"16-20",HOUR(D538)&gt;=12,"12-16",HOUR(D538)&lt;12,"7-12")</f>
        <v>12-16</v>
      </c>
      <c r="F538" s="6" t="s">
        <v>3</v>
      </c>
      <c r="G538" s="6" t="s">
        <v>206</v>
      </c>
      <c r="H538" s="6">
        <v>37.72</v>
      </c>
      <c r="I538" s="6" t="s">
        <v>43</v>
      </c>
    </row>
    <row r="539" spans="1:9" x14ac:dyDescent="0.35">
      <c r="A539" s="34">
        <v>45432</v>
      </c>
      <c r="B539" s="34" t="str">
        <f t="shared" si="17"/>
        <v>May</v>
      </c>
      <c r="C539" s="4" t="str">
        <f t="shared" si="16"/>
        <v>Monday</v>
      </c>
      <c r="D539" s="5">
        <v>45432.605801527781</v>
      </c>
      <c r="E539" s="6" t="str" cm="1">
        <f t="array" ref="E539">_xlfn.IFS(HOUR(D539)&gt;=20,"20-24 ",HOUR(D539)&gt;=16,"16-20",HOUR(D539)&gt;=12,"12-16",HOUR(D539)&lt;12,"7-12")</f>
        <v>12-16</v>
      </c>
      <c r="F539" s="6" t="s">
        <v>21</v>
      </c>
      <c r="G539" s="6" t="s">
        <v>463</v>
      </c>
      <c r="H539" s="6">
        <v>29</v>
      </c>
      <c r="I539" s="6" t="s">
        <v>11</v>
      </c>
    </row>
    <row r="540" spans="1:9" x14ac:dyDescent="0.35">
      <c r="A540" s="34">
        <v>45432</v>
      </c>
      <c r="B540" s="34" t="str">
        <f t="shared" si="17"/>
        <v>May</v>
      </c>
      <c r="C540" s="4" t="str">
        <f t="shared" si="16"/>
        <v>Monday</v>
      </c>
      <c r="D540" s="5">
        <v>45432.717258344906</v>
      </c>
      <c r="E540" s="6" t="str" cm="1">
        <f t="array" ref="E540">_xlfn.IFS(HOUR(D540)&gt;=20,"20-24 ",HOUR(D540)&gt;=16,"16-20",HOUR(D540)&gt;=12,"12-16",HOUR(D540)&lt;12,"7-12")</f>
        <v>16-20</v>
      </c>
      <c r="F540" s="6" t="s">
        <v>3</v>
      </c>
      <c r="G540" s="6" t="s">
        <v>134</v>
      </c>
      <c r="H540" s="6">
        <v>37.72</v>
      </c>
      <c r="I540" s="6" t="s">
        <v>7</v>
      </c>
    </row>
    <row r="541" spans="1:9" x14ac:dyDescent="0.35">
      <c r="A541" s="34">
        <v>45432</v>
      </c>
      <c r="B541" s="34" t="str">
        <f t="shared" si="17"/>
        <v>May</v>
      </c>
      <c r="C541" s="4" t="str">
        <f t="shared" si="16"/>
        <v>Monday</v>
      </c>
      <c r="D541" s="5">
        <v>45432.718019641201</v>
      </c>
      <c r="E541" s="6" t="str" cm="1">
        <f t="array" ref="E541">_xlfn.IFS(HOUR(D541)&gt;=20,"20-24 ",HOUR(D541)&gt;=16,"16-20",HOUR(D541)&gt;=12,"12-16",HOUR(D541)&lt;12,"7-12")</f>
        <v>16-20</v>
      </c>
      <c r="F541" s="6" t="s">
        <v>3</v>
      </c>
      <c r="G541" s="6" t="s">
        <v>207</v>
      </c>
      <c r="H541" s="6">
        <v>37.72</v>
      </c>
      <c r="I541" s="6" t="s">
        <v>7</v>
      </c>
    </row>
    <row r="542" spans="1:9" x14ac:dyDescent="0.35">
      <c r="A542" s="34">
        <v>45432</v>
      </c>
      <c r="B542" s="34" t="str">
        <f t="shared" si="17"/>
        <v>May</v>
      </c>
      <c r="C542" s="4" t="str">
        <f t="shared" si="16"/>
        <v>Monday</v>
      </c>
      <c r="D542" s="5">
        <v>45432.858892592594</v>
      </c>
      <c r="E542" s="6" t="str" cm="1">
        <f t="array" ref="E542">_xlfn.IFS(HOUR(D542)&gt;=20,"20-24 ",HOUR(D542)&gt;=16,"16-20",HOUR(D542)&gt;=12,"12-16",HOUR(D542)&lt;12,"7-12")</f>
        <v xml:space="preserve">20-24 </v>
      </c>
      <c r="F542" s="6" t="s">
        <v>3</v>
      </c>
      <c r="G542" s="6" t="s">
        <v>208</v>
      </c>
      <c r="H542" s="6">
        <v>32.82</v>
      </c>
      <c r="I542" s="6" t="s">
        <v>14</v>
      </c>
    </row>
    <row r="543" spans="1:9" x14ac:dyDescent="0.35">
      <c r="A543" s="34">
        <v>45432</v>
      </c>
      <c r="B543" s="34" t="str">
        <f t="shared" si="17"/>
        <v>May</v>
      </c>
      <c r="C543" s="4" t="str">
        <f t="shared" si="16"/>
        <v>Monday</v>
      </c>
      <c r="D543" s="5">
        <v>45432.859691157406</v>
      </c>
      <c r="E543" s="6" t="str" cm="1">
        <f t="array" ref="E543">_xlfn.IFS(HOUR(D543)&gt;=20,"20-24 ",HOUR(D543)&gt;=16,"16-20",HOUR(D543)&gt;=12,"12-16",HOUR(D543)&lt;12,"7-12")</f>
        <v xml:space="preserve">20-24 </v>
      </c>
      <c r="F543" s="6" t="s">
        <v>3</v>
      </c>
      <c r="G543" s="6" t="s">
        <v>208</v>
      </c>
      <c r="H543" s="6">
        <v>37.72</v>
      </c>
      <c r="I543" s="6" t="s">
        <v>18</v>
      </c>
    </row>
    <row r="544" spans="1:9" x14ac:dyDescent="0.35">
      <c r="A544" s="34">
        <v>45432</v>
      </c>
      <c r="B544" s="34" t="str">
        <f t="shared" si="17"/>
        <v>May</v>
      </c>
      <c r="C544" s="4" t="str">
        <f t="shared" si="16"/>
        <v>Monday</v>
      </c>
      <c r="D544" s="5">
        <v>45432.865880613426</v>
      </c>
      <c r="E544" s="6" t="str" cm="1">
        <f t="array" ref="E544">_xlfn.IFS(HOUR(D544)&gt;=20,"20-24 ",HOUR(D544)&gt;=16,"16-20",HOUR(D544)&gt;=12,"12-16",HOUR(D544)&lt;12,"7-12")</f>
        <v xml:space="preserve">20-24 </v>
      </c>
      <c r="F544" s="6" t="s">
        <v>3</v>
      </c>
      <c r="G544" s="6" t="s">
        <v>209</v>
      </c>
      <c r="H544" s="6">
        <v>27.92</v>
      </c>
      <c r="I544" s="6" t="s">
        <v>28</v>
      </c>
    </row>
    <row r="545" spans="1:9" x14ac:dyDescent="0.35">
      <c r="A545" s="34">
        <v>45432</v>
      </c>
      <c r="B545" s="34" t="str">
        <f t="shared" si="17"/>
        <v>May</v>
      </c>
      <c r="C545" s="4" t="str">
        <f t="shared" si="16"/>
        <v>Monday</v>
      </c>
      <c r="D545" s="5">
        <v>45432.900624837966</v>
      </c>
      <c r="E545" s="6" t="str" cm="1">
        <f t="array" ref="E545">_xlfn.IFS(HOUR(D545)&gt;=20,"20-24 ",HOUR(D545)&gt;=16,"16-20",HOUR(D545)&gt;=12,"12-16",HOUR(D545)&lt;12,"7-12")</f>
        <v xml:space="preserve">20-24 </v>
      </c>
      <c r="F545" s="6" t="s">
        <v>3</v>
      </c>
      <c r="G545" s="6" t="s">
        <v>23</v>
      </c>
      <c r="H545" s="6">
        <v>32.82</v>
      </c>
      <c r="I545" s="6" t="s">
        <v>14</v>
      </c>
    </row>
    <row r="546" spans="1:9" x14ac:dyDescent="0.35">
      <c r="A546" s="34">
        <v>45432</v>
      </c>
      <c r="B546" s="34" t="str">
        <f t="shared" si="17"/>
        <v>May</v>
      </c>
      <c r="C546" s="4" t="str">
        <f t="shared" si="16"/>
        <v>Monday</v>
      </c>
      <c r="D546" s="5">
        <v>45432.901363159719</v>
      </c>
      <c r="E546" s="6" t="str" cm="1">
        <f t="array" ref="E546">_xlfn.IFS(HOUR(D546)&gt;=20,"20-24 ",HOUR(D546)&gt;=16,"16-20",HOUR(D546)&gt;=12,"12-16",HOUR(D546)&lt;12,"7-12")</f>
        <v xml:space="preserve">20-24 </v>
      </c>
      <c r="F546" s="6" t="s">
        <v>3</v>
      </c>
      <c r="G546" s="6" t="s">
        <v>23</v>
      </c>
      <c r="H546" s="6">
        <v>32.82</v>
      </c>
      <c r="I546" s="6" t="s">
        <v>14</v>
      </c>
    </row>
    <row r="547" spans="1:9" x14ac:dyDescent="0.35">
      <c r="A547" s="34">
        <v>45433</v>
      </c>
      <c r="B547" s="34" t="str">
        <f t="shared" si="17"/>
        <v>May</v>
      </c>
      <c r="C547" s="4" t="str">
        <f t="shared" si="16"/>
        <v>Tuesday</v>
      </c>
      <c r="D547" s="5">
        <v>45433.352525810187</v>
      </c>
      <c r="E547" s="6" t="str" cm="1">
        <f t="array" ref="E547">_xlfn.IFS(HOUR(D547)&gt;=20,"20-24 ",HOUR(D547)&gt;=16,"16-20",HOUR(D547)&gt;=12,"12-16",HOUR(D547)&lt;12,"7-12")</f>
        <v>7-12</v>
      </c>
      <c r="F547" s="6" t="s">
        <v>3</v>
      </c>
      <c r="G547" s="6" t="s">
        <v>210</v>
      </c>
      <c r="H547" s="6">
        <v>37.72</v>
      </c>
      <c r="I547" s="6" t="s">
        <v>7</v>
      </c>
    </row>
    <row r="548" spans="1:9" x14ac:dyDescent="0.35">
      <c r="A548" s="34">
        <v>45433</v>
      </c>
      <c r="B548" s="34" t="str">
        <f t="shared" si="17"/>
        <v>May</v>
      </c>
      <c r="C548" s="4" t="str">
        <f t="shared" si="16"/>
        <v>Tuesday</v>
      </c>
      <c r="D548" s="5">
        <v>45433.405447800928</v>
      </c>
      <c r="E548" s="6" t="str" cm="1">
        <f t="array" ref="E548">_xlfn.IFS(HOUR(D548)&gt;=20,"20-24 ",HOUR(D548)&gt;=16,"16-20",HOUR(D548)&gt;=12,"12-16",HOUR(D548)&lt;12,"7-12")</f>
        <v>7-12</v>
      </c>
      <c r="F548" s="6" t="s">
        <v>21</v>
      </c>
      <c r="G548" s="6" t="s">
        <v>463</v>
      </c>
      <c r="H548" s="6">
        <v>29</v>
      </c>
      <c r="I548" s="6" t="s">
        <v>11</v>
      </c>
    </row>
    <row r="549" spans="1:9" x14ac:dyDescent="0.35">
      <c r="A549" s="34">
        <v>45433</v>
      </c>
      <c r="B549" s="34" t="str">
        <f t="shared" si="17"/>
        <v>May</v>
      </c>
      <c r="C549" s="4" t="str">
        <f t="shared" si="16"/>
        <v>Tuesday</v>
      </c>
      <c r="D549" s="5">
        <v>45433.40602209491</v>
      </c>
      <c r="E549" s="6" t="str" cm="1">
        <f t="array" ref="E549">_xlfn.IFS(HOUR(D549)&gt;=20,"20-24 ",HOUR(D549)&gt;=16,"16-20",HOUR(D549)&gt;=12,"12-16",HOUR(D549)&lt;12,"7-12")</f>
        <v>7-12</v>
      </c>
      <c r="F549" s="6" t="s">
        <v>21</v>
      </c>
      <c r="G549" s="6" t="s">
        <v>463</v>
      </c>
      <c r="H549" s="6">
        <v>34</v>
      </c>
      <c r="I549" s="6" t="s">
        <v>14</v>
      </c>
    </row>
    <row r="550" spans="1:9" x14ac:dyDescent="0.35">
      <c r="A550" s="34">
        <v>45433</v>
      </c>
      <c r="B550" s="34" t="str">
        <f t="shared" si="17"/>
        <v>May</v>
      </c>
      <c r="C550" s="4" t="str">
        <f t="shared" si="16"/>
        <v>Tuesday</v>
      </c>
      <c r="D550" s="5">
        <v>45433.407053587965</v>
      </c>
      <c r="E550" s="6" t="str" cm="1">
        <f t="array" ref="E550">_xlfn.IFS(HOUR(D550)&gt;=20,"20-24 ",HOUR(D550)&gt;=16,"16-20",HOUR(D550)&gt;=12,"12-16",HOUR(D550)&lt;12,"7-12")</f>
        <v>7-12</v>
      </c>
      <c r="F550" s="6" t="s">
        <v>21</v>
      </c>
      <c r="G550" s="6" t="s">
        <v>463</v>
      </c>
      <c r="H550" s="6">
        <v>39</v>
      </c>
      <c r="I550" s="6" t="s">
        <v>18</v>
      </c>
    </row>
    <row r="551" spans="1:9" x14ac:dyDescent="0.35">
      <c r="A551" s="34">
        <v>45433</v>
      </c>
      <c r="B551" s="34" t="str">
        <f t="shared" si="17"/>
        <v>May</v>
      </c>
      <c r="C551" s="4" t="str">
        <f t="shared" si="16"/>
        <v>Tuesday</v>
      </c>
      <c r="D551" s="5">
        <v>45433.420231863427</v>
      </c>
      <c r="E551" s="6" t="str" cm="1">
        <f t="array" ref="E551">_xlfn.IFS(HOUR(D551)&gt;=20,"20-24 ",HOUR(D551)&gt;=16,"16-20",HOUR(D551)&gt;=12,"12-16",HOUR(D551)&lt;12,"7-12")</f>
        <v>7-12</v>
      </c>
      <c r="F551" s="6" t="s">
        <v>21</v>
      </c>
      <c r="G551" s="6" t="s">
        <v>463</v>
      </c>
      <c r="H551" s="6">
        <v>39</v>
      </c>
      <c r="I551" s="6" t="s">
        <v>7</v>
      </c>
    </row>
    <row r="552" spans="1:9" x14ac:dyDescent="0.35">
      <c r="A552" s="34">
        <v>45433</v>
      </c>
      <c r="B552" s="34" t="str">
        <f t="shared" si="17"/>
        <v>May</v>
      </c>
      <c r="C552" s="4" t="str">
        <f t="shared" si="16"/>
        <v>Tuesday</v>
      </c>
      <c r="D552" s="5">
        <v>45433.673842083335</v>
      </c>
      <c r="E552" s="6" t="str" cm="1">
        <f t="array" ref="E552">_xlfn.IFS(HOUR(D552)&gt;=20,"20-24 ",HOUR(D552)&gt;=16,"16-20",HOUR(D552)&gt;=12,"12-16",HOUR(D552)&lt;12,"7-12")</f>
        <v>16-20</v>
      </c>
      <c r="F552" s="6" t="s">
        <v>3</v>
      </c>
      <c r="G552" s="6" t="s">
        <v>211</v>
      </c>
      <c r="H552" s="6">
        <v>37.72</v>
      </c>
      <c r="I552" s="6" t="s">
        <v>7</v>
      </c>
    </row>
    <row r="553" spans="1:9" x14ac:dyDescent="0.35">
      <c r="A553" s="34">
        <v>45433</v>
      </c>
      <c r="B553" s="34" t="str">
        <f t="shared" si="17"/>
        <v>May</v>
      </c>
      <c r="C553" s="4" t="str">
        <f t="shared" si="16"/>
        <v>Tuesday</v>
      </c>
      <c r="D553" s="5">
        <v>45433.759305532411</v>
      </c>
      <c r="E553" s="6" t="str" cm="1">
        <f t="array" ref="E553">_xlfn.IFS(HOUR(D553)&gt;=20,"20-24 ",HOUR(D553)&gt;=16,"16-20",HOUR(D553)&gt;=12,"12-16",HOUR(D553)&lt;12,"7-12")</f>
        <v>16-20</v>
      </c>
      <c r="F553" s="6" t="s">
        <v>3</v>
      </c>
      <c r="G553" s="6" t="s">
        <v>23</v>
      </c>
      <c r="H553" s="6">
        <v>23.02</v>
      </c>
      <c r="I553" s="6" t="s">
        <v>35</v>
      </c>
    </row>
    <row r="554" spans="1:9" x14ac:dyDescent="0.35">
      <c r="A554" s="34">
        <v>45433</v>
      </c>
      <c r="B554" s="34" t="str">
        <f t="shared" si="17"/>
        <v>May</v>
      </c>
      <c r="C554" s="4" t="str">
        <f t="shared" si="16"/>
        <v>Tuesday</v>
      </c>
      <c r="D554" s="5">
        <v>45433.799412175926</v>
      </c>
      <c r="E554" s="6" t="str" cm="1">
        <f t="array" ref="E554">_xlfn.IFS(HOUR(D554)&gt;=20,"20-24 ",HOUR(D554)&gt;=16,"16-20",HOUR(D554)&gt;=12,"12-16",HOUR(D554)&lt;12,"7-12")</f>
        <v>16-20</v>
      </c>
      <c r="F554" s="6" t="s">
        <v>3</v>
      </c>
      <c r="G554" s="6" t="s">
        <v>212</v>
      </c>
      <c r="H554" s="6">
        <v>37.72</v>
      </c>
      <c r="I554" s="6" t="s">
        <v>43</v>
      </c>
    </row>
    <row r="555" spans="1:9" x14ac:dyDescent="0.35">
      <c r="A555" s="34">
        <v>45433</v>
      </c>
      <c r="B555" s="34" t="str">
        <f t="shared" si="17"/>
        <v>May</v>
      </c>
      <c r="C555" s="4" t="str">
        <f t="shared" si="16"/>
        <v>Tuesday</v>
      </c>
      <c r="D555" s="5">
        <v>45433.842920810188</v>
      </c>
      <c r="E555" s="6" t="str" cm="1">
        <f t="array" ref="E555">_xlfn.IFS(HOUR(D555)&gt;=20,"20-24 ",HOUR(D555)&gt;=16,"16-20",HOUR(D555)&gt;=12,"12-16",HOUR(D555)&lt;12,"7-12")</f>
        <v xml:space="preserve">20-24 </v>
      </c>
      <c r="F555" s="6" t="s">
        <v>3</v>
      </c>
      <c r="G555" s="6" t="s">
        <v>213</v>
      </c>
      <c r="H555" s="6">
        <v>37.72</v>
      </c>
      <c r="I555" s="6" t="s">
        <v>43</v>
      </c>
    </row>
    <row r="556" spans="1:9" x14ac:dyDescent="0.35">
      <c r="A556" s="34">
        <v>45434</v>
      </c>
      <c r="B556" s="34" t="str">
        <f t="shared" si="17"/>
        <v>May</v>
      </c>
      <c r="C556" s="4" t="str">
        <f t="shared" si="16"/>
        <v>Wednesday</v>
      </c>
      <c r="D556" s="5">
        <v>45434.399095115739</v>
      </c>
      <c r="E556" s="6" t="str" cm="1">
        <f t="array" ref="E556">_xlfn.IFS(HOUR(D556)&gt;=20,"20-24 ",HOUR(D556)&gt;=16,"16-20",HOUR(D556)&gt;=12,"12-16",HOUR(D556)&lt;12,"7-12")</f>
        <v>7-12</v>
      </c>
      <c r="F556" s="6" t="s">
        <v>3</v>
      </c>
      <c r="G556" s="6" t="s">
        <v>214</v>
      </c>
      <c r="H556" s="6">
        <v>37.72</v>
      </c>
      <c r="I556" s="6" t="s">
        <v>43</v>
      </c>
    </row>
    <row r="557" spans="1:9" x14ac:dyDescent="0.35">
      <c r="A557" s="34">
        <v>45434</v>
      </c>
      <c r="B557" s="34" t="str">
        <f t="shared" si="17"/>
        <v>May</v>
      </c>
      <c r="C557" s="4" t="str">
        <f t="shared" si="16"/>
        <v>Wednesday</v>
      </c>
      <c r="D557" s="5">
        <v>45434.451238935188</v>
      </c>
      <c r="E557" s="6" t="str" cm="1">
        <f t="array" ref="E557">_xlfn.IFS(HOUR(D557)&gt;=20,"20-24 ",HOUR(D557)&gt;=16,"16-20",HOUR(D557)&gt;=12,"12-16",HOUR(D557)&lt;12,"7-12")</f>
        <v>7-12</v>
      </c>
      <c r="F557" s="6" t="s">
        <v>3</v>
      </c>
      <c r="G557" s="6" t="s">
        <v>205</v>
      </c>
      <c r="H557" s="6">
        <v>32.82</v>
      </c>
      <c r="I557" s="6" t="s">
        <v>14</v>
      </c>
    </row>
    <row r="558" spans="1:9" x14ac:dyDescent="0.35">
      <c r="A558" s="34">
        <v>45434</v>
      </c>
      <c r="B558" s="34" t="str">
        <f t="shared" si="17"/>
        <v>May</v>
      </c>
      <c r="C558" s="4" t="str">
        <f t="shared" si="16"/>
        <v>Wednesday</v>
      </c>
      <c r="D558" s="5">
        <v>45434.4709984375</v>
      </c>
      <c r="E558" s="6" t="str" cm="1">
        <f t="array" ref="E558">_xlfn.IFS(HOUR(D558)&gt;=20,"20-24 ",HOUR(D558)&gt;=16,"16-20",HOUR(D558)&gt;=12,"12-16",HOUR(D558)&lt;12,"7-12")</f>
        <v>7-12</v>
      </c>
      <c r="F558" s="6" t="s">
        <v>3</v>
      </c>
      <c r="G558" s="6" t="s">
        <v>155</v>
      </c>
      <c r="H558" s="6">
        <v>27.92</v>
      </c>
      <c r="I558" s="6" t="s">
        <v>28</v>
      </c>
    </row>
    <row r="559" spans="1:9" x14ac:dyDescent="0.35">
      <c r="A559" s="34">
        <v>45434</v>
      </c>
      <c r="B559" s="34" t="str">
        <f t="shared" si="17"/>
        <v>May</v>
      </c>
      <c r="C559" s="4" t="str">
        <f t="shared" si="16"/>
        <v>Wednesday</v>
      </c>
      <c r="D559" s="5">
        <v>45434.482580648146</v>
      </c>
      <c r="E559" s="6" t="str" cm="1">
        <f t="array" ref="E559">_xlfn.IFS(HOUR(D559)&gt;=20,"20-24 ",HOUR(D559)&gt;=16,"16-20",HOUR(D559)&gt;=12,"12-16",HOUR(D559)&lt;12,"7-12")</f>
        <v>7-12</v>
      </c>
      <c r="F559" s="6" t="s">
        <v>3</v>
      </c>
      <c r="G559" s="6" t="s">
        <v>111</v>
      </c>
      <c r="H559" s="6">
        <v>32.82</v>
      </c>
      <c r="I559" s="6" t="s">
        <v>14</v>
      </c>
    </row>
    <row r="560" spans="1:9" x14ac:dyDescent="0.35">
      <c r="A560" s="34">
        <v>45434</v>
      </c>
      <c r="B560" s="34" t="str">
        <f t="shared" si="17"/>
        <v>May</v>
      </c>
      <c r="C560" s="4" t="str">
        <f t="shared" si="16"/>
        <v>Wednesday</v>
      </c>
      <c r="D560" s="5">
        <v>45434.520727326388</v>
      </c>
      <c r="E560" s="6" t="str" cm="1">
        <f t="array" ref="E560">_xlfn.IFS(HOUR(D560)&gt;=20,"20-24 ",HOUR(D560)&gt;=16,"16-20",HOUR(D560)&gt;=12,"12-16",HOUR(D560)&lt;12,"7-12")</f>
        <v>12-16</v>
      </c>
      <c r="F560" s="6" t="s">
        <v>3</v>
      </c>
      <c r="G560" s="6" t="s">
        <v>23</v>
      </c>
      <c r="H560" s="6">
        <v>27.92</v>
      </c>
      <c r="I560" s="6" t="s">
        <v>11</v>
      </c>
    </row>
    <row r="561" spans="1:9" x14ac:dyDescent="0.35">
      <c r="A561" s="34">
        <v>45434</v>
      </c>
      <c r="B561" s="34" t="str">
        <f t="shared" si="17"/>
        <v>May</v>
      </c>
      <c r="C561" s="4" t="str">
        <f t="shared" si="16"/>
        <v>Wednesday</v>
      </c>
      <c r="D561" s="5">
        <v>45434.521335034726</v>
      </c>
      <c r="E561" s="6" t="str" cm="1">
        <f t="array" ref="E561">_xlfn.IFS(HOUR(D561)&gt;=20,"20-24 ",HOUR(D561)&gt;=16,"16-20",HOUR(D561)&gt;=12,"12-16",HOUR(D561)&lt;12,"7-12")</f>
        <v>12-16</v>
      </c>
      <c r="F561" s="6" t="s">
        <v>3</v>
      </c>
      <c r="G561" s="6" t="s">
        <v>23</v>
      </c>
      <c r="H561" s="6">
        <v>27.92</v>
      </c>
      <c r="I561" s="6" t="s">
        <v>11</v>
      </c>
    </row>
    <row r="562" spans="1:9" x14ac:dyDescent="0.35">
      <c r="A562" s="34">
        <v>45434</v>
      </c>
      <c r="B562" s="34" t="str">
        <f t="shared" si="17"/>
        <v>May</v>
      </c>
      <c r="C562" s="4" t="str">
        <f t="shared" si="16"/>
        <v>Wednesday</v>
      </c>
      <c r="D562" s="5">
        <v>45434.583570590279</v>
      </c>
      <c r="E562" s="6" t="str" cm="1">
        <f t="array" ref="E562">_xlfn.IFS(HOUR(D562)&gt;=20,"20-24 ",HOUR(D562)&gt;=16,"16-20",HOUR(D562)&gt;=12,"12-16",HOUR(D562)&lt;12,"7-12")</f>
        <v>12-16</v>
      </c>
      <c r="F562" s="6" t="s">
        <v>3</v>
      </c>
      <c r="G562" s="6" t="s">
        <v>19</v>
      </c>
      <c r="H562" s="6">
        <v>32.82</v>
      </c>
      <c r="I562" s="6" t="s">
        <v>14</v>
      </c>
    </row>
    <row r="563" spans="1:9" x14ac:dyDescent="0.35">
      <c r="A563" s="34">
        <v>45434</v>
      </c>
      <c r="B563" s="34" t="str">
        <f t="shared" si="17"/>
        <v>May</v>
      </c>
      <c r="C563" s="4" t="str">
        <f t="shared" si="16"/>
        <v>Wednesday</v>
      </c>
      <c r="D563" s="5">
        <v>45434.809005763891</v>
      </c>
      <c r="E563" s="6" t="str" cm="1">
        <f t="array" ref="E563">_xlfn.IFS(HOUR(D563)&gt;=20,"20-24 ",HOUR(D563)&gt;=16,"16-20",HOUR(D563)&gt;=12,"12-16",HOUR(D563)&lt;12,"7-12")</f>
        <v>16-20</v>
      </c>
      <c r="F563" s="6" t="s">
        <v>3</v>
      </c>
      <c r="G563" s="6" t="s">
        <v>148</v>
      </c>
      <c r="H563" s="6">
        <v>37.72</v>
      </c>
      <c r="I563" s="6" t="s">
        <v>43</v>
      </c>
    </row>
    <row r="564" spans="1:9" x14ac:dyDescent="0.35">
      <c r="A564" s="34">
        <v>45434</v>
      </c>
      <c r="B564" s="34" t="str">
        <f t="shared" si="17"/>
        <v>May</v>
      </c>
      <c r="C564" s="4" t="str">
        <f t="shared" si="16"/>
        <v>Wednesday</v>
      </c>
      <c r="D564" s="5">
        <v>45434.809705717591</v>
      </c>
      <c r="E564" s="6" t="str" cm="1">
        <f t="array" ref="E564">_xlfn.IFS(HOUR(D564)&gt;=20,"20-24 ",HOUR(D564)&gt;=16,"16-20",HOUR(D564)&gt;=12,"12-16",HOUR(D564)&lt;12,"7-12")</f>
        <v>16-20</v>
      </c>
      <c r="F564" s="6" t="s">
        <v>3</v>
      </c>
      <c r="G564" s="6" t="s">
        <v>148</v>
      </c>
      <c r="H564" s="6">
        <v>37.72</v>
      </c>
      <c r="I564" s="6" t="s">
        <v>43</v>
      </c>
    </row>
    <row r="565" spans="1:9" x14ac:dyDescent="0.35">
      <c r="A565" s="34">
        <v>45434</v>
      </c>
      <c r="B565" s="34" t="str">
        <f t="shared" si="17"/>
        <v>May</v>
      </c>
      <c r="C565" s="4" t="str">
        <f t="shared" si="16"/>
        <v>Wednesday</v>
      </c>
      <c r="D565" s="5">
        <v>45434.891585648147</v>
      </c>
      <c r="E565" s="6" t="str" cm="1">
        <f t="array" ref="E565">_xlfn.IFS(HOUR(D565)&gt;=20,"20-24 ",HOUR(D565)&gt;=16,"16-20",HOUR(D565)&gt;=12,"12-16",HOUR(D565)&lt;12,"7-12")</f>
        <v xml:space="preserve">20-24 </v>
      </c>
      <c r="F565" s="6" t="s">
        <v>3</v>
      </c>
      <c r="G565" s="6" t="s">
        <v>194</v>
      </c>
      <c r="H565" s="6">
        <v>37.72</v>
      </c>
      <c r="I565" s="6" t="s">
        <v>9</v>
      </c>
    </row>
    <row r="566" spans="1:9" x14ac:dyDescent="0.35">
      <c r="A566" s="34">
        <v>45434</v>
      </c>
      <c r="B566" s="34" t="str">
        <f t="shared" si="17"/>
        <v>May</v>
      </c>
      <c r="C566" s="4" t="str">
        <f t="shared" si="16"/>
        <v>Wednesday</v>
      </c>
      <c r="D566" s="5">
        <v>45434.892240555557</v>
      </c>
      <c r="E566" s="6" t="str" cm="1">
        <f t="array" ref="E566">_xlfn.IFS(HOUR(D566)&gt;=20,"20-24 ",HOUR(D566)&gt;=16,"16-20",HOUR(D566)&gt;=12,"12-16",HOUR(D566)&lt;12,"7-12")</f>
        <v xml:space="preserve">20-24 </v>
      </c>
      <c r="F566" s="6" t="s">
        <v>3</v>
      </c>
      <c r="G566" s="6" t="s">
        <v>194</v>
      </c>
      <c r="H566" s="6">
        <v>37.72</v>
      </c>
      <c r="I566" s="6" t="s">
        <v>43</v>
      </c>
    </row>
    <row r="567" spans="1:9" x14ac:dyDescent="0.35">
      <c r="A567" s="34">
        <v>45435</v>
      </c>
      <c r="B567" s="34" t="str">
        <f t="shared" si="17"/>
        <v>May</v>
      </c>
      <c r="C567" s="4" t="str">
        <f t="shared" si="16"/>
        <v>Thursday</v>
      </c>
      <c r="D567" s="5">
        <v>45435.423838425922</v>
      </c>
      <c r="E567" s="6" t="str" cm="1">
        <f t="array" ref="E567">_xlfn.IFS(HOUR(D567)&gt;=20,"20-24 ",HOUR(D567)&gt;=16,"16-20",HOUR(D567)&gt;=12,"12-16",HOUR(D567)&lt;12,"7-12")</f>
        <v>7-12</v>
      </c>
      <c r="F567" s="6" t="s">
        <v>3</v>
      </c>
      <c r="G567" s="6" t="s">
        <v>215</v>
      </c>
      <c r="H567" s="6">
        <v>37.72</v>
      </c>
      <c r="I567" s="6" t="s">
        <v>43</v>
      </c>
    </row>
    <row r="568" spans="1:9" x14ac:dyDescent="0.35">
      <c r="A568" s="34">
        <v>45435</v>
      </c>
      <c r="B568" s="34" t="str">
        <f t="shared" si="17"/>
        <v>May</v>
      </c>
      <c r="C568" s="4" t="str">
        <f t="shared" si="16"/>
        <v>Thursday</v>
      </c>
      <c r="D568" s="5">
        <v>45435.515354224539</v>
      </c>
      <c r="E568" s="6" t="str" cm="1">
        <f t="array" ref="E568">_xlfn.IFS(HOUR(D568)&gt;=20,"20-24 ",HOUR(D568)&gt;=16,"16-20",HOUR(D568)&gt;=12,"12-16",HOUR(D568)&lt;12,"7-12")</f>
        <v>12-16</v>
      </c>
      <c r="F568" s="6" t="s">
        <v>3</v>
      </c>
      <c r="G568" s="6" t="s">
        <v>216</v>
      </c>
      <c r="H568" s="6">
        <v>23.02</v>
      </c>
      <c r="I568" s="6" t="s">
        <v>35</v>
      </c>
    </row>
    <row r="569" spans="1:9" x14ac:dyDescent="0.35">
      <c r="A569" s="34">
        <v>45435</v>
      </c>
      <c r="B569" s="34" t="str">
        <f t="shared" si="17"/>
        <v>May</v>
      </c>
      <c r="C569" s="4" t="str">
        <f t="shared" si="16"/>
        <v>Thursday</v>
      </c>
      <c r="D569" s="5">
        <v>45435.663386898152</v>
      </c>
      <c r="E569" s="6" t="str" cm="1">
        <f t="array" ref="E569">_xlfn.IFS(HOUR(D569)&gt;=20,"20-24 ",HOUR(D569)&gt;=16,"16-20",HOUR(D569)&gt;=12,"12-16",HOUR(D569)&lt;12,"7-12")</f>
        <v>12-16</v>
      </c>
      <c r="F569" s="6" t="s">
        <v>3</v>
      </c>
      <c r="G569" s="6" t="s">
        <v>194</v>
      </c>
      <c r="H569" s="6">
        <v>37.72</v>
      </c>
      <c r="I569" s="6" t="s">
        <v>43</v>
      </c>
    </row>
    <row r="570" spans="1:9" x14ac:dyDescent="0.35">
      <c r="A570" s="34">
        <v>45435</v>
      </c>
      <c r="B570" s="34" t="str">
        <f t="shared" si="17"/>
        <v>May</v>
      </c>
      <c r="C570" s="4" t="str">
        <f t="shared" si="16"/>
        <v>Thursday</v>
      </c>
      <c r="D570" s="5">
        <v>45435.664204131943</v>
      </c>
      <c r="E570" s="6" t="str" cm="1">
        <f t="array" ref="E570">_xlfn.IFS(HOUR(D570)&gt;=20,"20-24 ",HOUR(D570)&gt;=16,"16-20",HOUR(D570)&gt;=12,"12-16",HOUR(D570)&lt;12,"7-12")</f>
        <v>12-16</v>
      </c>
      <c r="F570" s="6" t="s">
        <v>3</v>
      </c>
      <c r="G570" s="6" t="s">
        <v>217</v>
      </c>
      <c r="H570" s="6">
        <v>37.72</v>
      </c>
      <c r="I570" s="6" t="s">
        <v>43</v>
      </c>
    </row>
    <row r="571" spans="1:9" x14ac:dyDescent="0.35">
      <c r="A571" s="34">
        <v>45435</v>
      </c>
      <c r="B571" s="34" t="str">
        <f t="shared" si="17"/>
        <v>May</v>
      </c>
      <c r="C571" s="4" t="str">
        <f t="shared" si="16"/>
        <v>Thursday</v>
      </c>
      <c r="D571" s="5">
        <v>45435.679329317129</v>
      </c>
      <c r="E571" s="6" t="str" cm="1">
        <f t="array" ref="E571">_xlfn.IFS(HOUR(D571)&gt;=20,"20-24 ",HOUR(D571)&gt;=16,"16-20",HOUR(D571)&gt;=12,"12-16",HOUR(D571)&lt;12,"7-12")</f>
        <v>16-20</v>
      </c>
      <c r="F571" s="6" t="s">
        <v>3</v>
      </c>
      <c r="G571" s="6" t="s">
        <v>194</v>
      </c>
      <c r="H571" s="6">
        <v>37.72</v>
      </c>
      <c r="I571" s="6" t="s">
        <v>43</v>
      </c>
    </row>
    <row r="572" spans="1:9" x14ac:dyDescent="0.35">
      <c r="A572" s="34">
        <v>45435</v>
      </c>
      <c r="B572" s="34" t="str">
        <f t="shared" si="17"/>
        <v>May</v>
      </c>
      <c r="C572" s="4" t="str">
        <f t="shared" si="16"/>
        <v>Thursday</v>
      </c>
      <c r="D572" s="5">
        <v>45435.695139386575</v>
      </c>
      <c r="E572" s="6" t="str" cm="1">
        <f t="array" ref="E572">_xlfn.IFS(HOUR(D572)&gt;=20,"20-24 ",HOUR(D572)&gt;=16,"16-20",HOUR(D572)&gt;=12,"12-16",HOUR(D572)&lt;12,"7-12")</f>
        <v>16-20</v>
      </c>
      <c r="F572" s="6" t="s">
        <v>3</v>
      </c>
      <c r="G572" s="6" t="s">
        <v>91</v>
      </c>
      <c r="H572" s="6">
        <v>37.72</v>
      </c>
      <c r="I572" s="6" t="s">
        <v>7</v>
      </c>
    </row>
    <row r="573" spans="1:9" x14ac:dyDescent="0.35">
      <c r="A573" s="34">
        <v>45435</v>
      </c>
      <c r="B573" s="34" t="str">
        <f t="shared" si="17"/>
        <v>May</v>
      </c>
      <c r="C573" s="4" t="str">
        <f t="shared" si="16"/>
        <v>Thursday</v>
      </c>
      <c r="D573" s="5">
        <v>45435.718440243058</v>
      </c>
      <c r="E573" s="6" t="str" cm="1">
        <f t="array" ref="E573">_xlfn.IFS(HOUR(D573)&gt;=20,"20-24 ",HOUR(D573)&gt;=16,"16-20",HOUR(D573)&gt;=12,"12-16",HOUR(D573)&lt;12,"7-12")</f>
        <v>16-20</v>
      </c>
      <c r="F573" s="6" t="s">
        <v>3</v>
      </c>
      <c r="G573" s="6" t="s">
        <v>167</v>
      </c>
      <c r="H573" s="6">
        <v>37.72</v>
      </c>
      <c r="I573" s="6" t="s">
        <v>43</v>
      </c>
    </row>
    <row r="574" spans="1:9" x14ac:dyDescent="0.35">
      <c r="A574" s="34">
        <v>45435</v>
      </c>
      <c r="B574" s="34" t="str">
        <f t="shared" si="17"/>
        <v>May</v>
      </c>
      <c r="C574" s="4" t="str">
        <f t="shared" si="16"/>
        <v>Thursday</v>
      </c>
      <c r="D574" s="5">
        <v>45435.719269224537</v>
      </c>
      <c r="E574" s="6" t="str" cm="1">
        <f t="array" ref="E574">_xlfn.IFS(HOUR(D574)&gt;=20,"20-24 ",HOUR(D574)&gt;=16,"16-20",HOUR(D574)&gt;=12,"12-16",HOUR(D574)&lt;12,"7-12")</f>
        <v>16-20</v>
      </c>
      <c r="F574" s="6" t="s">
        <v>3</v>
      </c>
      <c r="G574" s="6" t="s">
        <v>167</v>
      </c>
      <c r="H574" s="6">
        <v>37.72</v>
      </c>
      <c r="I574" s="6" t="s">
        <v>7</v>
      </c>
    </row>
    <row r="575" spans="1:9" x14ac:dyDescent="0.35">
      <c r="A575" s="34">
        <v>45435</v>
      </c>
      <c r="B575" s="34" t="str">
        <f t="shared" si="17"/>
        <v>May</v>
      </c>
      <c r="C575" s="4" t="str">
        <f t="shared" si="16"/>
        <v>Thursday</v>
      </c>
      <c r="D575" s="5">
        <v>45435.79437333333</v>
      </c>
      <c r="E575" s="6" t="str" cm="1">
        <f t="array" ref="E575">_xlfn.IFS(HOUR(D575)&gt;=20,"20-24 ",HOUR(D575)&gt;=16,"16-20",HOUR(D575)&gt;=12,"12-16",HOUR(D575)&lt;12,"7-12")</f>
        <v>16-20</v>
      </c>
      <c r="F575" s="6" t="s">
        <v>3</v>
      </c>
      <c r="G575" s="6" t="s">
        <v>218</v>
      </c>
      <c r="H575" s="6">
        <v>27.92</v>
      </c>
      <c r="I575" s="6" t="s">
        <v>28</v>
      </c>
    </row>
    <row r="576" spans="1:9" x14ac:dyDescent="0.35">
      <c r="A576" s="34">
        <v>45435</v>
      </c>
      <c r="B576" s="34" t="str">
        <f t="shared" si="17"/>
        <v>May</v>
      </c>
      <c r="C576" s="4" t="str">
        <f t="shared" si="16"/>
        <v>Thursday</v>
      </c>
      <c r="D576" s="5">
        <v>45435.803801284725</v>
      </c>
      <c r="E576" s="6" t="str" cm="1">
        <f t="array" ref="E576">_xlfn.IFS(HOUR(D576)&gt;=20,"20-24 ",HOUR(D576)&gt;=16,"16-20",HOUR(D576)&gt;=12,"12-16",HOUR(D576)&lt;12,"7-12")</f>
        <v>16-20</v>
      </c>
      <c r="F576" s="6" t="s">
        <v>3</v>
      </c>
      <c r="G576" s="6" t="s">
        <v>148</v>
      </c>
      <c r="H576" s="6">
        <v>37.72</v>
      </c>
      <c r="I576" s="6" t="s">
        <v>43</v>
      </c>
    </row>
    <row r="577" spans="1:9" x14ac:dyDescent="0.35">
      <c r="A577" s="34">
        <v>45435</v>
      </c>
      <c r="B577" s="34" t="str">
        <f t="shared" si="17"/>
        <v>May</v>
      </c>
      <c r="C577" s="4" t="str">
        <f t="shared" si="16"/>
        <v>Thursday</v>
      </c>
      <c r="D577" s="5">
        <v>45435.804472430558</v>
      </c>
      <c r="E577" s="6" t="str" cm="1">
        <f t="array" ref="E577">_xlfn.IFS(HOUR(D577)&gt;=20,"20-24 ",HOUR(D577)&gt;=16,"16-20",HOUR(D577)&gt;=12,"12-16",HOUR(D577)&lt;12,"7-12")</f>
        <v>16-20</v>
      </c>
      <c r="F577" s="6" t="s">
        <v>3</v>
      </c>
      <c r="G577" s="6" t="s">
        <v>219</v>
      </c>
      <c r="H577" s="6">
        <v>37.72</v>
      </c>
      <c r="I577" s="6" t="s">
        <v>43</v>
      </c>
    </row>
    <row r="578" spans="1:9" x14ac:dyDescent="0.35">
      <c r="A578" s="34">
        <v>45435</v>
      </c>
      <c r="B578" s="34" t="str">
        <f t="shared" si="17"/>
        <v>May</v>
      </c>
      <c r="C578" s="4" t="str">
        <f t="shared" ref="C578:C641" si="18">TEXT(A578,"ddddddddd")</f>
        <v>Thursday</v>
      </c>
      <c r="D578" s="5">
        <v>45435.821198449077</v>
      </c>
      <c r="E578" s="6" t="str" cm="1">
        <f t="array" ref="E578">_xlfn.IFS(HOUR(D578)&gt;=20,"20-24 ",HOUR(D578)&gt;=16,"16-20",HOUR(D578)&gt;=12,"12-16",HOUR(D578)&lt;12,"7-12")</f>
        <v>16-20</v>
      </c>
      <c r="F578" s="6" t="s">
        <v>3</v>
      </c>
      <c r="G578" s="6" t="s">
        <v>220</v>
      </c>
      <c r="H578" s="6">
        <v>37.72</v>
      </c>
      <c r="I578" s="6" t="s">
        <v>43</v>
      </c>
    </row>
    <row r="579" spans="1:9" x14ac:dyDescent="0.35">
      <c r="A579" s="34">
        <v>45435</v>
      </c>
      <c r="B579" s="34" t="str">
        <f t="shared" ref="B579:B642" si="19">TEXT(A579, "mmmm")</f>
        <v>May</v>
      </c>
      <c r="C579" s="4" t="str">
        <f t="shared" si="18"/>
        <v>Thursday</v>
      </c>
      <c r="D579" s="5">
        <v>45435.84376653935</v>
      </c>
      <c r="E579" s="6" t="str" cm="1">
        <f t="array" ref="E579">_xlfn.IFS(HOUR(D579)&gt;=20,"20-24 ",HOUR(D579)&gt;=16,"16-20",HOUR(D579)&gt;=12,"12-16",HOUR(D579)&lt;12,"7-12")</f>
        <v xml:space="preserve">20-24 </v>
      </c>
      <c r="F579" s="6" t="s">
        <v>3</v>
      </c>
      <c r="G579" s="6" t="s">
        <v>221</v>
      </c>
      <c r="H579" s="6">
        <v>37.72</v>
      </c>
      <c r="I579" s="6" t="s">
        <v>43</v>
      </c>
    </row>
    <row r="580" spans="1:9" x14ac:dyDescent="0.35">
      <c r="A580" s="34">
        <v>45435</v>
      </c>
      <c r="B580" s="34" t="str">
        <f t="shared" si="19"/>
        <v>May</v>
      </c>
      <c r="C580" s="4" t="str">
        <f t="shared" si="18"/>
        <v>Thursday</v>
      </c>
      <c r="D580" s="5">
        <v>45435.844724594906</v>
      </c>
      <c r="E580" s="6" t="str" cm="1">
        <f t="array" ref="E580">_xlfn.IFS(HOUR(D580)&gt;=20,"20-24 ",HOUR(D580)&gt;=16,"16-20",HOUR(D580)&gt;=12,"12-16",HOUR(D580)&lt;12,"7-12")</f>
        <v xml:space="preserve">20-24 </v>
      </c>
      <c r="F580" s="6" t="s">
        <v>3</v>
      </c>
      <c r="G580" s="6" t="s">
        <v>221</v>
      </c>
      <c r="H580" s="6">
        <v>37.72</v>
      </c>
      <c r="I580" s="6" t="s">
        <v>7</v>
      </c>
    </row>
    <row r="581" spans="1:9" x14ac:dyDescent="0.35">
      <c r="A581" s="34">
        <v>45435</v>
      </c>
      <c r="B581" s="34" t="str">
        <f t="shared" si="19"/>
        <v>May</v>
      </c>
      <c r="C581" s="4" t="str">
        <f t="shared" si="18"/>
        <v>Thursday</v>
      </c>
      <c r="D581" s="5">
        <v>45435.950125150463</v>
      </c>
      <c r="E581" s="6" t="str" cm="1">
        <f t="array" ref="E581">_xlfn.IFS(HOUR(D581)&gt;=20,"20-24 ",HOUR(D581)&gt;=16,"16-20",HOUR(D581)&gt;=12,"12-16",HOUR(D581)&lt;12,"7-12")</f>
        <v xml:space="preserve">20-24 </v>
      </c>
      <c r="F581" s="6" t="s">
        <v>3</v>
      </c>
      <c r="G581" s="6" t="s">
        <v>222</v>
      </c>
      <c r="H581" s="6">
        <v>32.82</v>
      </c>
      <c r="I581" s="6" t="s">
        <v>14</v>
      </c>
    </row>
    <row r="582" spans="1:9" x14ac:dyDescent="0.35">
      <c r="A582" s="34">
        <v>45435</v>
      </c>
      <c r="B582" s="34" t="str">
        <f t="shared" si="19"/>
        <v>May</v>
      </c>
      <c r="C582" s="4" t="str">
        <f t="shared" si="18"/>
        <v>Thursday</v>
      </c>
      <c r="D582" s="5">
        <v>45435.955288495374</v>
      </c>
      <c r="E582" s="6" t="str" cm="1">
        <f t="array" ref="E582">_xlfn.IFS(HOUR(D582)&gt;=20,"20-24 ",HOUR(D582)&gt;=16,"16-20",HOUR(D582)&gt;=12,"12-16",HOUR(D582)&lt;12,"7-12")</f>
        <v xml:space="preserve">20-24 </v>
      </c>
      <c r="F582" s="6" t="s">
        <v>21</v>
      </c>
      <c r="G582" s="6" t="s">
        <v>463</v>
      </c>
      <c r="H582" s="6">
        <v>39</v>
      </c>
      <c r="I582" s="6" t="s">
        <v>9</v>
      </c>
    </row>
    <row r="583" spans="1:9" x14ac:dyDescent="0.35">
      <c r="A583" s="34">
        <v>45436</v>
      </c>
      <c r="B583" s="34" t="str">
        <f t="shared" si="19"/>
        <v>May</v>
      </c>
      <c r="C583" s="4" t="str">
        <f t="shared" si="18"/>
        <v>Friday</v>
      </c>
      <c r="D583" s="5">
        <v>45436.466657199075</v>
      </c>
      <c r="E583" s="6" t="str" cm="1">
        <f t="array" ref="E583">_xlfn.IFS(HOUR(D583)&gt;=20,"20-24 ",HOUR(D583)&gt;=16,"16-20",HOUR(D583)&gt;=12,"12-16",HOUR(D583)&lt;12,"7-12")</f>
        <v>7-12</v>
      </c>
      <c r="F583" s="6" t="s">
        <v>3</v>
      </c>
      <c r="G583" s="6" t="s">
        <v>155</v>
      </c>
      <c r="H583" s="6">
        <v>27.92</v>
      </c>
      <c r="I583" s="6" t="s">
        <v>28</v>
      </c>
    </row>
    <row r="584" spans="1:9" x14ac:dyDescent="0.35">
      <c r="A584" s="34">
        <v>45436</v>
      </c>
      <c r="B584" s="34" t="str">
        <f t="shared" si="19"/>
        <v>May</v>
      </c>
      <c r="C584" s="4" t="str">
        <f t="shared" si="18"/>
        <v>Friday</v>
      </c>
      <c r="D584" s="5">
        <v>45436.468846539348</v>
      </c>
      <c r="E584" s="6" t="str" cm="1">
        <f t="array" ref="E584">_xlfn.IFS(HOUR(D584)&gt;=20,"20-24 ",HOUR(D584)&gt;=16,"16-20",HOUR(D584)&gt;=12,"12-16",HOUR(D584)&lt;12,"7-12")</f>
        <v>7-12</v>
      </c>
      <c r="F584" s="6" t="s">
        <v>3</v>
      </c>
      <c r="G584" s="6" t="s">
        <v>23</v>
      </c>
      <c r="H584" s="6">
        <v>27.92</v>
      </c>
      <c r="I584" s="6" t="s">
        <v>11</v>
      </c>
    </row>
    <row r="585" spans="1:9" x14ac:dyDescent="0.35">
      <c r="A585" s="34">
        <v>45436</v>
      </c>
      <c r="B585" s="34" t="str">
        <f t="shared" si="19"/>
        <v>May</v>
      </c>
      <c r="C585" s="4" t="str">
        <f t="shared" si="18"/>
        <v>Friday</v>
      </c>
      <c r="D585" s="5">
        <v>45436.469595092596</v>
      </c>
      <c r="E585" s="6" t="str" cm="1">
        <f t="array" ref="E585">_xlfn.IFS(HOUR(D585)&gt;=20,"20-24 ",HOUR(D585)&gt;=16,"16-20",HOUR(D585)&gt;=12,"12-16",HOUR(D585)&lt;12,"7-12")</f>
        <v>7-12</v>
      </c>
      <c r="F585" s="6" t="s">
        <v>3</v>
      </c>
      <c r="G585" s="6" t="s">
        <v>23</v>
      </c>
      <c r="H585" s="6">
        <v>27.92</v>
      </c>
      <c r="I585" s="6" t="s">
        <v>11</v>
      </c>
    </row>
    <row r="586" spans="1:9" x14ac:dyDescent="0.35">
      <c r="A586" s="34">
        <v>45436</v>
      </c>
      <c r="B586" s="34" t="str">
        <f t="shared" si="19"/>
        <v>May</v>
      </c>
      <c r="C586" s="4" t="str">
        <f t="shared" si="18"/>
        <v>Friday</v>
      </c>
      <c r="D586" s="5">
        <v>45436.671757129632</v>
      </c>
      <c r="E586" s="6" t="str" cm="1">
        <f t="array" ref="E586">_xlfn.IFS(HOUR(D586)&gt;=20,"20-24 ",HOUR(D586)&gt;=16,"16-20",HOUR(D586)&gt;=12,"12-16",HOUR(D586)&lt;12,"7-12")</f>
        <v>16-20</v>
      </c>
      <c r="F586" s="6" t="s">
        <v>3</v>
      </c>
      <c r="G586" s="6" t="s">
        <v>95</v>
      </c>
      <c r="H586" s="6">
        <v>37.72</v>
      </c>
      <c r="I586" s="6" t="s">
        <v>9</v>
      </c>
    </row>
    <row r="587" spans="1:9" x14ac:dyDescent="0.35">
      <c r="A587" s="34">
        <v>45436</v>
      </c>
      <c r="B587" s="34" t="str">
        <f t="shared" si="19"/>
        <v>May</v>
      </c>
      <c r="C587" s="4" t="str">
        <f t="shared" si="18"/>
        <v>Friday</v>
      </c>
      <c r="D587" s="5">
        <v>45436.762272337961</v>
      </c>
      <c r="E587" s="6" t="str" cm="1">
        <f t="array" ref="E587">_xlfn.IFS(HOUR(D587)&gt;=20,"20-24 ",HOUR(D587)&gt;=16,"16-20",HOUR(D587)&gt;=12,"12-16",HOUR(D587)&lt;12,"7-12")</f>
        <v>16-20</v>
      </c>
      <c r="F587" s="6" t="s">
        <v>3</v>
      </c>
      <c r="G587" s="6" t="s">
        <v>223</v>
      </c>
      <c r="H587" s="6">
        <v>27.92</v>
      </c>
      <c r="I587" s="6" t="s">
        <v>28</v>
      </c>
    </row>
    <row r="588" spans="1:9" x14ac:dyDescent="0.35">
      <c r="A588" s="34">
        <v>45436</v>
      </c>
      <c r="B588" s="34" t="str">
        <f t="shared" si="19"/>
        <v>May</v>
      </c>
      <c r="C588" s="4" t="str">
        <f t="shared" si="18"/>
        <v>Friday</v>
      </c>
      <c r="D588" s="5">
        <v>45436.762924745373</v>
      </c>
      <c r="E588" s="6" t="str" cm="1">
        <f t="array" ref="E588">_xlfn.IFS(HOUR(D588)&gt;=20,"20-24 ",HOUR(D588)&gt;=16,"16-20",HOUR(D588)&gt;=12,"12-16",HOUR(D588)&lt;12,"7-12")</f>
        <v>16-20</v>
      </c>
      <c r="F588" s="6" t="s">
        <v>3</v>
      </c>
      <c r="G588" s="6" t="s">
        <v>223</v>
      </c>
      <c r="H588" s="6">
        <v>27.92</v>
      </c>
      <c r="I588" s="6" t="s">
        <v>28</v>
      </c>
    </row>
    <row r="589" spans="1:9" x14ac:dyDescent="0.35">
      <c r="A589" s="34">
        <v>45436</v>
      </c>
      <c r="B589" s="34" t="str">
        <f t="shared" si="19"/>
        <v>May</v>
      </c>
      <c r="C589" s="4" t="str">
        <f t="shared" si="18"/>
        <v>Friday</v>
      </c>
      <c r="D589" s="5">
        <v>45436.937965254627</v>
      </c>
      <c r="E589" s="6" t="str" cm="1">
        <f t="array" ref="E589">_xlfn.IFS(HOUR(D589)&gt;=20,"20-24 ",HOUR(D589)&gt;=16,"16-20",HOUR(D589)&gt;=12,"12-16",HOUR(D589)&lt;12,"7-12")</f>
        <v xml:space="preserve">20-24 </v>
      </c>
      <c r="F589" s="6" t="s">
        <v>3</v>
      </c>
      <c r="G589" s="6" t="s">
        <v>224</v>
      </c>
      <c r="H589" s="6">
        <v>32.82</v>
      </c>
      <c r="I589" s="6" t="s">
        <v>14</v>
      </c>
    </row>
    <row r="590" spans="1:9" x14ac:dyDescent="0.35">
      <c r="A590" s="34">
        <v>45437</v>
      </c>
      <c r="B590" s="34" t="str">
        <f t="shared" si="19"/>
        <v>May</v>
      </c>
      <c r="C590" s="4" t="str">
        <f t="shared" si="18"/>
        <v>Saturday</v>
      </c>
      <c r="D590" s="5">
        <v>45437.320125208331</v>
      </c>
      <c r="E590" s="6" t="str" cm="1">
        <f t="array" ref="E590">_xlfn.IFS(HOUR(D590)&gt;=20,"20-24 ",HOUR(D590)&gt;=16,"16-20",HOUR(D590)&gt;=12,"12-16",HOUR(D590)&lt;12,"7-12")</f>
        <v>7-12</v>
      </c>
      <c r="F590" s="6" t="s">
        <v>21</v>
      </c>
      <c r="G590" s="6" t="s">
        <v>463</v>
      </c>
      <c r="H590" s="6">
        <v>29</v>
      </c>
      <c r="I590" s="6" t="s">
        <v>11</v>
      </c>
    </row>
    <row r="591" spans="1:9" x14ac:dyDescent="0.35">
      <c r="A591" s="34">
        <v>45437</v>
      </c>
      <c r="B591" s="34" t="str">
        <f t="shared" si="19"/>
        <v>May</v>
      </c>
      <c r="C591" s="4" t="str">
        <f t="shared" si="18"/>
        <v>Saturday</v>
      </c>
      <c r="D591" s="5">
        <v>45437.509645694445</v>
      </c>
      <c r="E591" s="6" t="str" cm="1">
        <f t="array" ref="E591">_xlfn.IFS(HOUR(D591)&gt;=20,"20-24 ",HOUR(D591)&gt;=16,"16-20",HOUR(D591)&gt;=12,"12-16",HOUR(D591)&lt;12,"7-12")</f>
        <v>12-16</v>
      </c>
      <c r="F591" s="6" t="s">
        <v>3</v>
      </c>
      <c r="G591" s="6" t="s">
        <v>225</v>
      </c>
      <c r="H591" s="6">
        <v>37.72</v>
      </c>
      <c r="I591" s="6" t="s">
        <v>7</v>
      </c>
    </row>
    <row r="592" spans="1:9" x14ac:dyDescent="0.35">
      <c r="A592" s="34">
        <v>45437</v>
      </c>
      <c r="B592" s="34" t="str">
        <f t="shared" si="19"/>
        <v>May</v>
      </c>
      <c r="C592" s="4" t="str">
        <f t="shared" si="18"/>
        <v>Saturday</v>
      </c>
      <c r="D592" s="5">
        <v>45437.528050775465</v>
      </c>
      <c r="E592" s="6" t="str" cm="1">
        <f t="array" ref="E592">_xlfn.IFS(HOUR(D592)&gt;=20,"20-24 ",HOUR(D592)&gt;=16,"16-20",HOUR(D592)&gt;=12,"12-16",HOUR(D592)&lt;12,"7-12")</f>
        <v>12-16</v>
      </c>
      <c r="F592" s="6" t="s">
        <v>21</v>
      </c>
      <c r="G592" s="6" t="s">
        <v>463</v>
      </c>
      <c r="H592" s="6">
        <v>29</v>
      </c>
      <c r="I592" s="6" t="s">
        <v>11</v>
      </c>
    </row>
    <row r="593" spans="1:9" x14ac:dyDescent="0.35">
      <c r="A593" s="34">
        <v>45437</v>
      </c>
      <c r="B593" s="34" t="str">
        <f t="shared" si="19"/>
        <v>May</v>
      </c>
      <c r="C593" s="4" t="str">
        <f t="shared" si="18"/>
        <v>Saturday</v>
      </c>
      <c r="D593" s="5">
        <v>45437.529285393517</v>
      </c>
      <c r="E593" s="6" t="str" cm="1">
        <f t="array" ref="E593">_xlfn.IFS(HOUR(D593)&gt;=20,"20-24 ",HOUR(D593)&gt;=16,"16-20",HOUR(D593)&gt;=12,"12-16",HOUR(D593)&lt;12,"7-12")</f>
        <v>12-16</v>
      </c>
      <c r="F593" s="6" t="s">
        <v>3</v>
      </c>
      <c r="G593" s="6" t="s">
        <v>226</v>
      </c>
      <c r="H593" s="6">
        <v>32.82</v>
      </c>
      <c r="I593" s="6" t="s">
        <v>14</v>
      </c>
    </row>
    <row r="594" spans="1:9" x14ac:dyDescent="0.35">
      <c r="A594" s="34">
        <v>45437</v>
      </c>
      <c r="B594" s="34" t="str">
        <f t="shared" si="19"/>
        <v>May</v>
      </c>
      <c r="C594" s="4" t="str">
        <f t="shared" si="18"/>
        <v>Saturday</v>
      </c>
      <c r="D594" s="5">
        <v>45437.530014756943</v>
      </c>
      <c r="E594" s="6" t="str" cm="1">
        <f t="array" ref="E594">_xlfn.IFS(HOUR(D594)&gt;=20,"20-24 ",HOUR(D594)&gt;=16,"16-20",HOUR(D594)&gt;=12,"12-16",HOUR(D594)&lt;12,"7-12")</f>
        <v>12-16</v>
      </c>
      <c r="F594" s="6" t="s">
        <v>3</v>
      </c>
      <c r="G594" s="6" t="s">
        <v>226</v>
      </c>
      <c r="H594" s="6">
        <v>32.82</v>
      </c>
      <c r="I594" s="6" t="s">
        <v>14</v>
      </c>
    </row>
    <row r="595" spans="1:9" x14ac:dyDescent="0.35">
      <c r="A595" s="34">
        <v>45437</v>
      </c>
      <c r="B595" s="34" t="str">
        <f t="shared" si="19"/>
        <v>May</v>
      </c>
      <c r="C595" s="4" t="str">
        <f t="shared" si="18"/>
        <v>Saturday</v>
      </c>
      <c r="D595" s="5">
        <v>45437.540417233795</v>
      </c>
      <c r="E595" s="6" t="str" cm="1">
        <f t="array" ref="E595">_xlfn.IFS(HOUR(D595)&gt;=20,"20-24 ",HOUR(D595)&gt;=16,"16-20",HOUR(D595)&gt;=12,"12-16",HOUR(D595)&lt;12,"7-12")</f>
        <v>12-16</v>
      </c>
      <c r="F595" s="6" t="s">
        <v>3</v>
      </c>
      <c r="G595" s="6" t="s">
        <v>227</v>
      </c>
      <c r="H595" s="6">
        <v>32.82</v>
      </c>
      <c r="I595" s="6" t="s">
        <v>14</v>
      </c>
    </row>
    <row r="596" spans="1:9" x14ac:dyDescent="0.35">
      <c r="A596" s="34">
        <v>45437</v>
      </c>
      <c r="B596" s="34" t="str">
        <f t="shared" si="19"/>
        <v>May</v>
      </c>
      <c r="C596" s="4" t="str">
        <f t="shared" si="18"/>
        <v>Saturday</v>
      </c>
      <c r="D596" s="5">
        <v>45437.69941616898</v>
      </c>
      <c r="E596" s="6" t="str" cm="1">
        <f t="array" ref="E596">_xlfn.IFS(HOUR(D596)&gt;=20,"20-24 ",HOUR(D596)&gt;=16,"16-20",HOUR(D596)&gt;=12,"12-16",HOUR(D596)&lt;12,"7-12")</f>
        <v>16-20</v>
      </c>
      <c r="F596" s="6" t="s">
        <v>3</v>
      </c>
      <c r="G596" s="6" t="s">
        <v>54</v>
      </c>
      <c r="H596" s="6">
        <v>32.82</v>
      </c>
      <c r="I596" s="6" t="s">
        <v>14</v>
      </c>
    </row>
    <row r="597" spans="1:9" x14ac:dyDescent="0.35">
      <c r="A597" s="34">
        <v>45437</v>
      </c>
      <c r="B597" s="34" t="str">
        <f t="shared" si="19"/>
        <v>May</v>
      </c>
      <c r="C597" s="4" t="str">
        <f t="shared" si="18"/>
        <v>Saturday</v>
      </c>
      <c r="D597" s="5">
        <v>45437.700194837962</v>
      </c>
      <c r="E597" s="6" t="str" cm="1">
        <f t="array" ref="E597">_xlfn.IFS(HOUR(D597)&gt;=20,"20-24 ",HOUR(D597)&gt;=16,"16-20",HOUR(D597)&gt;=12,"12-16",HOUR(D597)&lt;12,"7-12")</f>
        <v>16-20</v>
      </c>
      <c r="F597" s="6" t="s">
        <v>3</v>
      </c>
      <c r="G597" s="6" t="s">
        <v>54</v>
      </c>
      <c r="H597" s="6">
        <v>27.92</v>
      </c>
      <c r="I597" s="6" t="s">
        <v>11</v>
      </c>
    </row>
    <row r="598" spans="1:9" x14ac:dyDescent="0.35">
      <c r="A598" s="34">
        <v>45438</v>
      </c>
      <c r="B598" s="34" t="str">
        <f t="shared" si="19"/>
        <v>May</v>
      </c>
      <c r="C598" s="4" t="str">
        <f t="shared" si="18"/>
        <v>Sunday</v>
      </c>
      <c r="D598" s="5">
        <v>45438.430581400462</v>
      </c>
      <c r="E598" s="6" t="str" cm="1">
        <f t="array" ref="E598">_xlfn.IFS(HOUR(D598)&gt;=20,"20-24 ",HOUR(D598)&gt;=16,"16-20",HOUR(D598)&gt;=12,"12-16",HOUR(D598)&lt;12,"7-12")</f>
        <v>7-12</v>
      </c>
      <c r="F598" s="6" t="s">
        <v>3</v>
      </c>
      <c r="G598" s="6" t="s">
        <v>6</v>
      </c>
      <c r="H598" s="6">
        <v>37.72</v>
      </c>
      <c r="I598" s="6" t="s">
        <v>7</v>
      </c>
    </row>
    <row r="599" spans="1:9" x14ac:dyDescent="0.35">
      <c r="A599" s="34">
        <v>45438</v>
      </c>
      <c r="B599" s="34" t="str">
        <f t="shared" si="19"/>
        <v>May</v>
      </c>
      <c r="C599" s="4" t="str">
        <f t="shared" si="18"/>
        <v>Sunday</v>
      </c>
      <c r="D599" s="5">
        <v>45438.600576527781</v>
      </c>
      <c r="E599" s="6" t="str" cm="1">
        <f t="array" ref="E599">_xlfn.IFS(HOUR(D599)&gt;=20,"20-24 ",HOUR(D599)&gt;=16,"16-20",HOUR(D599)&gt;=12,"12-16",HOUR(D599)&lt;12,"7-12")</f>
        <v>12-16</v>
      </c>
      <c r="F599" s="6" t="s">
        <v>3</v>
      </c>
      <c r="G599" s="6" t="s">
        <v>228</v>
      </c>
      <c r="H599" s="6">
        <v>32.82</v>
      </c>
      <c r="I599" s="6" t="s">
        <v>14</v>
      </c>
    </row>
    <row r="600" spans="1:9" x14ac:dyDescent="0.35">
      <c r="A600" s="34">
        <v>45438</v>
      </c>
      <c r="B600" s="34" t="str">
        <f t="shared" si="19"/>
        <v>May</v>
      </c>
      <c r="C600" s="4" t="str">
        <f t="shared" si="18"/>
        <v>Sunday</v>
      </c>
      <c r="D600" s="5">
        <v>45438.601449629627</v>
      </c>
      <c r="E600" s="6" t="str" cm="1">
        <f t="array" ref="E600">_xlfn.IFS(HOUR(D600)&gt;=20,"20-24 ",HOUR(D600)&gt;=16,"16-20",HOUR(D600)&gt;=12,"12-16",HOUR(D600)&lt;12,"7-12")</f>
        <v>12-16</v>
      </c>
      <c r="F600" s="6" t="s">
        <v>3</v>
      </c>
      <c r="G600" s="6" t="s">
        <v>229</v>
      </c>
      <c r="H600" s="6">
        <v>27.92</v>
      </c>
      <c r="I600" s="6" t="s">
        <v>28</v>
      </c>
    </row>
    <row r="601" spans="1:9" x14ac:dyDescent="0.35">
      <c r="A601" s="34">
        <v>45438</v>
      </c>
      <c r="B601" s="34" t="str">
        <f t="shared" si="19"/>
        <v>May</v>
      </c>
      <c r="C601" s="4" t="str">
        <f t="shared" si="18"/>
        <v>Sunday</v>
      </c>
      <c r="D601" s="5">
        <v>45438.611792615739</v>
      </c>
      <c r="E601" s="6" t="str" cm="1">
        <f t="array" ref="E601">_xlfn.IFS(HOUR(D601)&gt;=20,"20-24 ",HOUR(D601)&gt;=16,"16-20",HOUR(D601)&gt;=12,"12-16",HOUR(D601)&lt;12,"7-12")</f>
        <v>12-16</v>
      </c>
      <c r="F601" s="6" t="s">
        <v>3</v>
      </c>
      <c r="G601" s="6" t="s">
        <v>230</v>
      </c>
      <c r="H601" s="6">
        <v>32.82</v>
      </c>
      <c r="I601" s="6" t="s">
        <v>14</v>
      </c>
    </row>
    <row r="602" spans="1:9" x14ac:dyDescent="0.35">
      <c r="A602" s="34">
        <v>45438</v>
      </c>
      <c r="B602" s="34" t="str">
        <f t="shared" si="19"/>
        <v>May</v>
      </c>
      <c r="C602" s="4" t="str">
        <f t="shared" si="18"/>
        <v>Sunday</v>
      </c>
      <c r="D602" s="5">
        <v>45438.721707418983</v>
      </c>
      <c r="E602" s="6" t="str" cm="1">
        <f t="array" ref="E602">_xlfn.IFS(HOUR(D602)&gt;=20,"20-24 ",HOUR(D602)&gt;=16,"16-20",HOUR(D602)&gt;=12,"12-16",HOUR(D602)&lt;12,"7-12")</f>
        <v>16-20</v>
      </c>
      <c r="F602" s="6" t="s">
        <v>3</v>
      </c>
      <c r="G602" s="6" t="s">
        <v>231</v>
      </c>
      <c r="H602" s="6">
        <v>37.72</v>
      </c>
      <c r="I602" s="6" t="s">
        <v>43</v>
      </c>
    </row>
    <row r="603" spans="1:9" x14ac:dyDescent="0.35">
      <c r="A603" s="34">
        <v>45438</v>
      </c>
      <c r="B603" s="34" t="str">
        <f t="shared" si="19"/>
        <v>May</v>
      </c>
      <c r="C603" s="4" t="str">
        <f t="shared" si="18"/>
        <v>Sunday</v>
      </c>
      <c r="D603" s="5">
        <v>45438.756861608796</v>
      </c>
      <c r="E603" s="6" t="str" cm="1">
        <f t="array" ref="E603">_xlfn.IFS(HOUR(D603)&gt;=20,"20-24 ",HOUR(D603)&gt;=16,"16-20",HOUR(D603)&gt;=12,"12-16",HOUR(D603)&lt;12,"7-12")</f>
        <v>16-20</v>
      </c>
      <c r="F603" s="6" t="s">
        <v>3</v>
      </c>
      <c r="G603" s="6" t="s">
        <v>232</v>
      </c>
      <c r="H603" s="6">
        <v>37.72</v>
      </c>
      <c r="I603" s="6" t="s">
        <v>9</v>
      </c>
    </row>
    <row r="604" spans="1:9" x14ac:dyDescent="0.35">
      <c r="A604" s="34">
        <v>45438</v>
      </c>
      <c r="B604" s="34" t="str">
        <f t="shared" si="19"/>
        <v>May</v>
      </c>
      <c r="C604" s="4" t="str">
        <f t="shared" si="18"/>
        <v>Sunday</v>
      </c>
      <c r="D604" s="5">
        <v>45438.757664398145</v>
      </c>
      <c r="E604" s="6" t="str" cm="1">
        <f t="array" ref="E604">_xlfn.IFS(HOUR(D604)&gt;=20,"20-24 ",HOUR(D604)&gt;=16,"16-20",HOUR(D604)&gt;=12,"12-16",HOUR(D604)&lt;12,"7-12")</f>
        <v>16-20</v>
      </c>
      <c r="F604" s="6" t="s">
        <v>3</v>
      </c>
      <c r="G604" s="6" t="s">
        <v>232</v>
      </c>
      <c r="H604" s="6">
        <v>37.72</v>
      </c>
      <c r="I604" s="6" t="s">
        <v>9</v>
      </c>
    </row>
    <row r="605" spans="1:9" x14ac:dyDescent="0.35">
      <c r="A605" s="34">
        <v>45438</v>
      </c>
      <c r="B605" s="34" t="str">
        <f t="shared" si="19"/>
        <v>May</v>
      </c>
      <c r="C605" s="4" t="str">
        <f t="shared" si="18"/>
        <v>Sunday</v>
      </c>
      <c r="D605" s="5">
        <v>45438.759193275466</v>
      </c>
      <c r="E605" s="6" t="str" cm="1">
        <f t="array" ref="E605">_xlfn.IFS(HOUR(D605)&gt;=20,"20-24 ",HOUR(D605)&gt;=16,"16-20",HOUR(D605)&gt;=12,"12-16",HOUR(D605)&lt;12,"7-12")</f>
        <v>16-20</v>
      </c>
      <c r="F605" s="6" t="s">
        <v>3</v>
      </c>
      <c r="G605" s="6" t="s">
        <v>232</v>
      </c>
      <c r="H605" s="6">
        <v>27.92</v>
      </c>
      <c r="I605" s="6" t="s">
        <v>11</v>
      </c>
    </row>
    <row r="606" spans="1:9" x14ac:dyDescent="0.35">
      <c r="A606" s="34">
        <v>45438</v>
      </c>
      <c r="B606" s="34" t="str">
        <f t="shared" si="19"/>
        <v>May</v>
      </c>
      <c r="C606" s="4" t="str">
        <f t="shared" si="18"/>
        <v>Sunday</v>
      </c>
      <c r="D606" s="5">
        <v>45438.777300856484</v>
      </c>
      <c r="E606" s="6" t="str" cm="1">
        <f t="array" ref="E606">_xlfn.IFS(HOUR(D606)&gt;=20,"20-24 ",HOUR(D606)&gt;=16,"16-20",HOUR(D606)&gt;=12,"12-16",HOUR(D606)&lt;12,"7-12")</f>
        <v>16-20</v>
      </c>
      <c r="F606" s="6" t="s">
        <v>3</v>
      </c>
      <c r="G606" s="6" t="s">
        <v>233</v>
      </c>
      <c r="H606" s="6">
        <v>37.72</v>
      </c>
      <c r="I606" s="6" t="s">
        <v>7</v>
      </c>
    </row>
    <row r="607" spans="1:9" x14ac:dyDescent="0.35">
      <c r="A607" s="34">
        <v>45438</v>
      </c>
      <c r="B607" s="34" t="str">
        <f t="shared" si="19"/>
        <v>May</v>
      </c>
      <c r="C607" s="4" t="str">
        <f t="shared" si="18"/>
        <v>Sunday</v>
      </c>
      <c r="D607" s="5">
        <v>45438.874478634258</v>
      </c>
      <c r="E607" s="6" t="str" cm="1">
        <f t="array" ref="E607">_xlfn.IFS(HOUR(D607)&gt;=20,"20-24 ",HOUR(D607)&gt;=16,"16-20",HOUR(D607)&gt;=12,"12-16",HOUR(D607)&lt;12,"7-12")</f>
        <v xml:space="preserve">20-24 </v>
      </c>
      <c r="F607" s="6" t="s">
        <v>3</v>
      </c>
      <c r="G607" s="6" t="s">
        <v>234</v>
      </c>
      <c r="H607" s="6">
        <v>37.72</v>
      </c>
      <c r="I607" s="6" t="s">
        <v>9</v>
      </c>
    </row>
    <row r="608" spans="1:9" x14ac:dyDescent="0.35">
      <c r="A608" s="34">
        <v>45438</v>
      </c>
      <c r="B608" s="34" t="str">
        <f t="shared" si="19"/>
        <v>May</v>
      </c>
      <c r="C608" s="4" t="str">
        <f t="shared" si="18"/>
        <v>Sunday</v>
      </c>
      <c r="D608" s="5">
        <v>45438.875064444444</v>
      </c>
      <c r="E608" s="6" t="str" cm="1">
        <f t="array" ref="E608">_xlfn.IFS(HOUR(D608)&gt;=20,"20-24 ",HOUR(D608)&gt;=16,"16-20",HOUR(D608)&gt;=12,"12-16",HOUR(D608)&lt;12,"7-12")</f>
        <v xml:space="preserve">20-24 </v>
      </c>
      <c r="F608" s="6" t="s">
        <v>3</v>
      </c>
      <c r="G608" s="6" t="s">
        <v>234</v>
      </c>
      <c r="H608" s="6">
        <v>37.72</v>
      </c>
      <c r="I608" s="6" t="s">
        <v>43</v>
      </c>
    </row>
    <row r="609" spans="1:9" x14ac:dyDescent="0.35">
      <c r="A609" s="34">
        <v>45438</v>
      </c>
      <c r="B609" s="34" t="str">
        <f t="shared" si="19"/>
        <v>May</v>
      </c>
      <c r="C609" s="4" t="str">
        <f t="shared" si="18"/>
        <v>Sunday</v>
      </c>
      <c r="D609" s="5">
        <v>45438.876816377313</v>
      </c>
      <c r="E609" s="6" t="str" cm="1">
        <f t="array" ref="E609">_xlfn.IFS(HOUR(D609)&gt;=20,"20-24 ",HOUR(D609)&gt;=16,"16-20",HOUR(D609)&gt;=12,"12-16",HOUR(D609)&lt;12,"7-12")</f>
        <v xml:space="preserve">20-24 </v>
      </c>
      <c r="F609" s="6" t="s">
        <v>3</v>
      </c>
      <c r="G609" s="6" t="s">
        <v>235</v>
      </c>
      <c r="H609" s="6">
        <v>27.92</v>
      </c>
      <c r="I609" s="6" t="s">
        <v>28</v>
      </c>
    </row>
    <row r="610" spans="1:9" x14ac:dyDescent="0.35">
      <c r="A610" s="34">
        <v>45438</v>
      </c>
      <c r="B610" s="34" t="str">
        <f t="shared" si="19"/>
        <v>May</v>
      </c>
      <c r="C610" s="4" t="str">
        <f t="shared" si="18"/>
        <v>Sunday</v>
      </c>
      <c r="D610" s="5">
        <v>45438.877682546299</v>
      </c>
      <c r="E610" s="6" t="str" cm="1">
        <f t="array" ref="E610">_xlfn.IFS(HOUR(D610)&gt;=20,"20-24 ",HOUR(D610)&gt;=16,"16-20",HOUR(D610)&gt;=12,"12-16",HOUR(D610)&lt;12,"7-12")</f>
        <v xml:space="preserve">20-24 </v>
      </c>
      <c r="F610" s="6" t="s">
        <v>3</v>
      </c>
      <c r="G610" s="6" t="s">
        <v>236</v>
      </c>
      <c r="H610" s="6">
        <v>37.72</v>
      </c>
      <c r="I610" s="6" t="s">
        <v>43</v>
      </c>
    </row>
    <row r="611" spans="1:9" x14ac:dyDescent="0.35">
      <c r="A611" s="34">
        <v>45438</v>
      </c>
      <c r="B611" s="34" t="str">
        <f t="shared" si="19"/>
        <v>May</v>
      </c>
      <c r="C611" s="4" t="str">
        <f t="shared" si="18"/>
        <v>Sunday</v>
      </c>
      <c r="D611" s="5">
        <v>45438.878458611114</v>
      </c>
      <c r="E611" s="6" t="str" cm="1">
        <f t="array" ref="E611">_xlfn.IFS(HOUR(D611)&gt;=20,"20-24 ",HOUR(D611)&gt;=16,"16-20",HOUR(D611)&gt;=12,"12-16",HOUR(D611)&lt;12,"7-12")</f>
        <v xml:space="preserve">20-24 </v>
      </c>
      <c r="F611" s="6" t="s">
        <v>3</v>
      </c>
      <c r="G611" s="6" t="s">
        <v>235</v>
      </c>
      <c r="H611" s="6">
        <v>37.72</v>
      </c>
      <c r="I611" s="6" t="s">
        <v>7</v>
      </c>
    </row>
    <row r="612" spans="1:9" x14ac:dyDescent="0.35">
      <c r="A612" s="34">
        <v>45438</v>
      </c>
      <c r="B612" s="34" t="str">
        <f t="shared" si="19"/>
        <v>May</v>
      </c>
      <c r="C612" s="4" t="str">
        <f t="shared" si="18"/>
        <v>Sunday</v>
      </c>
      <c r="D612" s="5">
        <v>45438.879197002316</v>
      </c>
      <c r="E612" s="6" t="str" cm="1">
        <f t="array" ref="E612">_xlfn.IFS(HOUR(D612)&gt;=20,"20-24 ",HOUR(D612)&gt;=16,"16-20",HOUR(D612)&gt;=12,"12-16",HOUR(D612)&lt;12,"7-12")</f>
        <v xml:space="preserve">20-24 </v>
      </c>
      <c r="F612" s="6" t="s">
        <v>3</v>
      </c>
      <c r="G612" s="6" t="s">
        <v>237</v>
      </c>
      <c r="H612" s="6">
        <v>37.72</v>
      </c>
      <c r="I612" s="6" t="s">
        <v>43</v>
      </c>
    </row>
    <row r="613" spans="1:9" x14ac:dyDescent="0.35">
      <c r="A613" s="34">
        <v>45439</v>
      </c>
      <c r="B613" s="34" t="str">
        <f t="shared" si="19"/>
        <v>May</v>
      </c>
      <c r="C613" s="4" t="str">
        <f t="shared" si="18"/>
        <v>Monday</v>
      </c>
      <c r="D613" s="5">
        <v>45439.482583935183</v>
      </c>
      <c r="E613" s="6" t="str" cm="1">
        <f t="array" ref="E613">_xlfn.IFS(HOUR(D613)&gt;=20,"20-24 ",HOUR(D613)&gt;=16,"16-20",HOUR(D613)&gt;=12,"12-16",HOUR(D613)&lt;12,"7-12")</f>
        <v>7-12</v>
      </c>
      <c r="F613" s="6" t="s">
        <v>3</v>
      </c>
      <c r="G613" s="6" t="s">
        <v>23</v>
      </c>
      <c r="H613" s="6">
        <v>27.92</v>
      </c>
      <c r="I613" s="6" t="s">
        <v>11</v>
      </c>
    </row>
    <row r="614" spans="1:9" x14ac:dyDescent="0.35">
      <c r="A614" s="34">
        <v>45439</v>
      </c>
      <c r="B614" s="34" t="str">
        <f t="shared" si="19"/>
        <v>May</v>
      </c>
      <c r="C614" s="4" t="str">
        <f t="shared" si="18"/>
        <v>Monday</v>
      </c>
      <c r="D614" s="5">
        <v>45439.587056574077</v>
      </c>
      <c r="E614" s="6" t="str" cm="1">
        <f t="array" ref="E614">_xlfn.IFS(HOUR(D614)&gt;=20,"20-24 ",HOUR(D614)&gt;=16,"16-20",HOUR(D614)&gt;=12,"12-16",HOUR(D614)&lt;12,"7-12")</f>
        <v>12-16</v>
      </c>
      <c r="F614" s="6" t="s">
        <v>3</v>
      </c>
      <c r="G614" s="6" t="s">
        <v>238</v>
      </c>
      <c r="H614" s="6">
        <v>32.82</v>
      </c>
      <c r="I614" s="6" t="s">
        <v>14</v>
      </c>
    </row>
    <row r="615" spans="1:9" x14ac:dyDescent="0.35">
      <c r="A615" s="34">
        <v>45439</v>
      </c>
      <c r="B615" s="34" t="str">
        <f t="shared" si="19"/>
        <v>May</v>
      </c>
      <c r="C615" s="4" t="str">
        <f t="shared" si="18"/>
        <v>Monday</v>
      </c>
      <c r="D615" s="5">
        <v>45439.588004212965</v>
      </c>
      <c r="E615" s="6" t="str" cm="1">
        <f t="array" ref="E615">_xlfn.IFS(HOUR(D615)&gt;=20,"20-24 ",HOUR(D615)&gt;=16,"16-20",HOUR(D615)&gt;=12,"12-16",HOUR(D615)&lt;12,"7-12")</f>
        <v>12-16</v>
      </c>
      <c r="F615" s="6" t="s">
        <v>3</v>
      </c>
      <c r="G615" s="6" t="s">
        <v>238</v>
      </c>
      <c r="H615" s="6">
        <v>37.72</v>
      </c>
      <c r="I615" s="6" t="s">
        <v>18</v>
      </c>
    </row>
    <row r="616" spans="1:9" x14ac:dyDescent="0.35">
      <c r="A616" s="34">
        <v>45439</v>
      </c>
      <c r="B616" s="34" t="str">
        <f t="shared" si="19"/>
        <v>May</v>
      </c>
      <c r="C616" s="4" t="str">
        <f t="shared" si="18"/>
        <v>Monday</v>
      </c>
      <c r="D616" s="5">
        <v>45439.633033113423</v>
      </c>
      <c r="E616" s="6" t="str" cm="1">
        <f t="array" ref="E616">_xlfn.IFS(HOUR(D616)&gt;=20,"20-24 ",HOUR(D616)&gt;=16,"16-20",HOUR(D616)&gt;=12,"12-16",HOUR(D616)&lt;12,"7-12")</f>
        <v>12-16</v>
      </c>
      <c r="F616" s="6" t="s">
        <v>3</v>
      </c>
      <c r="G616" s="6" t="s">
        <v>239</v>
      </c>
      <c r="H616" s="6">
        <v>27.92</v>
      </c>
      <c r="I616" s="6" t="s">
        <v>11</v>
      </c>
    </row>
    <row r="617" spans="1:9" x14ac:dyDescent="0.35">
      <c r="A617" s="34">
        <v>45439</v>
      </c>
      <c r="B617" s="34" t="str">
        <f t="shared" si="19"/>
        <v>May</v>
      </c>
      <c r="C617" s="4" t="str">
        <f t="shared" si="18"/>
        <v>Monday</v>
      </c>
      <c r="D617" s="5">
        <v>45439.634789212963</v>
      </c>
      <c r="E617" s="6" t="str" cm="1">
        <f t="array" ref="E617">_xlfn.IFS(HOUR(D617)&gt;=20,"20-24 ",HOUR(D617)&gt;=16,"16-20",HOUR(D617)&gt;=12,"12-16",HOUR(D617)&lt;12,"7-12")</f>
        <v>12-16</v>
      </c>
      <c r="F617" s="6" t="s">
        <v>3</v>
      </c>
      <c r="G617" s="6" t="s">
        <v>239</v>
      </c>
      <c r="H617" s="6">
        <v>27.92</v>
      </c>
      <c r="I617" s="6" t="s">
        <v>11</v>
      </c>
    </row>
    <row r="618" spans="1:9" x14ac:dyDescent="0.35">
      <c r="A618" s="34">
        <v>45439</v>
      </c>
      <c r="B618" s="34" t="str">
        <f t="shared" si="19"/>
        <v>May</v>
      </c>
      <c r="C618" s="4" t="str">
        <f t="shared" si="18"/>
        <v>Monday</v>
      </c>
      <c r="D618" s="5">
        <v>45439.743700960651</v>
      </c>
      <c r="E618" s="6" t="str" cm="1">
        <f t="array" ref="E618">_xlfn.IFS(HOUR(D618)&gt;=20,"20-24 ",HOUR(D618)&gt;=16,"16-20",HOUR(D618)&gt;=12,"12-16",HOUR(D618)&lt;12,"7-12")</f>
        <v>16-20</v>
      </c>
      <c r="F618" s="6" t="s">
        <v>3</v>
      </c>
      <c r="G618" s="6" t="s">
        <v>217</v>
      </c>
      <c r="H618" s="6">
        <v>37.72</v>
      </c>
      <c r="I618" s="6" t="s">
        <v>7</v>
      </c>
    </row>
    <row r="619" spans="1:9" x14ac:dyDescent="0.35">
      <c r="A619" s="34">
        <v>45439</v>
      </c>
      <c r="B619" s="34" t="str">
        <f t="shared" si="19"/>
        <v>May</v>
      </c>
      <c r="C619" s="4" t="str">
        <f t="shared" si="18"/>
        <v>Monday</v>
      </c>
      <c r="D619" s="5">
        <v>45439.750590081021</v>
      </c>
      <c r="E619" s="6" t="str" cm="1">
        <f t="array" ref="E619">_xlfn.IFS(HOUR(D619)&gt;=20,"20-24 ",HOUR(D619)&gt;=16,"16-20",HOUR(D619)&gt;=12,"12-16",HOUR(D619)&lt;12,"7-12")</f>
        <v>16-20</v>
      </c>
      <c r="F619" s="6" t="s">
        <v>3</v>
      </c>
      <c r="G619" s="6" t="s">
        <v>240</v>
      </c>
      <c r="H619" s="6">
        <v>27.92</v>
      </c>
      <c r="I619" s="6" t="s">
        <v>11</v>
      </c>
    </row>
    <row r="620" spans="1:9" x14ac:dyDescent="0.35">
      <c r="A620" s="34">
        <v>45439</v>
      </c>
      <c r="B620" s="34" t="str">
        <f t="shared" si="19"/>
        <v>May</v>
      </c>
      <c r="C620" s="4" t="str">
        <f t="shared" si="18"/>
        <v>Monday</v>
      </c>
      <c r="D620" s="5">
        <v>45439.803094953706</v>
      </c>
      <c r="E620" s="6" t="str" cm="1">
        <f t="array" ref="E620">_xlfn.IFS(HOUR(D620)&gt;=20,"20-24 ",HOUR(D620)&gt;=16,"16-20",HOUR(D620)&gt;=12,"12-16",HOUR(D620)&lt;12,"7-12")</f>
        <v>16-20</v>
      </c>
      <c r="F620" s="6" t="s">
        <v>3</v>
      </c>
      <c r="G620" s="6" t="s">
        <v>241</v>
      </c>
      <c r="H620" s="6">
        <v>37.72</v>
      </c>
      <c r="I620" s="6" t="s">
        <v>7</v>
      </c>
    </row>
    <row r="621" spans="1:9" x14ac:dyDescent="0.35">
      <c r="A621" s="34">
        <v>45439</v>
      </c>
      <c r="B621" s="34" t="str">
        <f t="shared" si="19"/>
        <v>May</v>
      </c>
      <c r="C621" s="4" t="str">
        <f t="shared" si="18"/>
        <v>Monday</v>
      </c>
      <c r="D621" s="5">
        <v>45439.803920474536</v>
      </c>
      <c r="E621" s="6" t="str" cm="1">
        <f t="array" ref="E621">_xlfn.IFS(HOUR(D621)&gt;=20,"20-24 ",HOUR(D621)&gt;=16,"16-20",HOUR(D621)&gt;=12,"12-16",HOUR(D621)&lt;12,"7-12")</f>
        <v>16-20</v>
      </c>
      <c r="F621" s="6" t="s">
        <v>3</v>
      </c>
      <c r="G621" s="6" t="s">
        <v>242</v>
      </c>
      <c r="H621" s="6">
        <v>37.72</v>
      </c>
      <c r="I621" s="6" t="s">
        <v>7</v>
      </c>
    </row>
    <row r="622" spans="1:9" x14ac:dyDescent="0.35">
      <c r="A622" s="34">
        <v>45439</v>
      </c>
      <c r="B622" s="34" t="str">
        <f t="shared" si="19"/>
        <v>May</v>
      </c>
      <c r="C622" s="4" t="str">
        <f t="shared" si="18"/>
        <v>Monday</v>
      </c>
      <c r="D622" s="5">
        <v>45439.895220891201</v>
      </c>
      <c r="E622" s="6" t="str" cm="1">
        <f t="array" ref="E622">_xlfn.IFS(HOUR(D622)&gt;=20,"20-24 ",HOUR(D622)&gt;=16,"16-20",HOUR(D622)&gt;=12,"12-16",HOUR(D622)&lt;12,"7-12")</f>
        <v xml:space="preserve">20-24 </v>
      </c>
      <c r="F622" s="6" t="s">
        <v>3</v>
      </c>
      <c r="G622" s="6" t="s">
        <v>206</v>
      </c>
      <c r="H622" s="6">
        <v>32.82</v>
      </c>
      <c r="I622" s="6" t="s">
        <v>14</v>
      </c>
    </row>
    <row r="623" spans="1:9" x14ac:dyDescent="0.35">
      <c r="A623" s="34">
        <v>45439</v>
      </c>
      <c r="B623" s="34" t="str">
        <f t="shared" si="19"/>
        <v>May</v>
      </c>
      <c r="C623" s="4" t="str">
        <f t="shared" si="18"/>
        <v>Monday</v>
      </c>
      <c r="D623" s="5">
        <v>45439.896062175925</v>
      </c>
      <c r="E623" s="6" t="str" cm="1">
        <f t="array" ref="E623">_xlfn.IFS(HOUR(D623)&gt;=20,"20-24 ",HOUR(D623)&gt;=16,"16-20",HOUR(D623)&gt;=12,"12-16",HOUR(D623)&lt;12,"7-12")</f>
        <v xml:space="preserve">20-24 </v>
      </c>
      <c r="F623" s="6" t="s">
        <v>3</v>
      </c>
      <c r="G623" s="6" t="s">
        <v>220</v>
      </c>
      <c r="H623" s="6">
        <v>37.72</v>
      </c>
      <c r="I623" s="6" t="s">
        <v>43</v>
      </c>
    </row>
    <row r="624" spans="1:9" x14ac:dyDescent="0.35">
      <c r="A624" s="34">
        <v>45440</v>
      </c>
      <c r="B624" s="34" t="str">
        <f t="shared" si="19"/>
        <v>May</v>
      </c>
      <c r="C624" s="4" t="str">
        <f t="shared" si="18"/>
        <v>Tuesday</v>
      </c>
      <c r="D624" s="5">
        <v>45440.359132268517</v>
      </c>
      <c r="E624" s="6" t="str" cm="1">
        <f t="array" ref="E624">_xlfn.IFS(HOUR(D624)&gt;=20,"20-24 ",HOUR(D624)&gt;=16,"16-20",HOUR(D624)&gt;=12,"12-16",HOUR(D624)&lt;12,"7-12")</f>
        <v>7-12</v>
      </c>
      <c r="F624" s="6" t="s">
        <v>3</v>
      </c>
      <c r="G624" s="6" t="s">
        <v>23</v>
      </c>
      <c r="H624" s="6">
        <v>32.82</v>
      </c>
      <c r="I624" s="6" t="s">
        <v>14</v>
      </c>
    </row>
    <row r="625" spans="1:9" x14ac:dyDescent="0.35">
      <c r="A625" s="34">
        <v>45440</v>
      </c>
      <c r="B625" s="34" t="str">
        <f t="shared" si="19"/>
        <v>May</v>
      </c>
      <c r="C625" s="4" t="str">
        <f t="shared" si="18"/>
        <v>Tuesday</v>
      </c>
      <c r="D625" s="5">
        <v>45440.389013148146</v>
      </c>
      <c r="E625" s="6" t="str" cm="1">
        <f t="array" ref="E625">_xlfn.IFS(HOUR(D625)&gt;=20,"20-24 ",HOUR(D625)&gt;=16,"16-20",HOUR(D625)&gt;=12,"12-16",HOUR(D625)&lt;12,"7-12")</f>
        <v>7-12</v>
      </c>
      <c r="F625" s="6" t="s">
        <v>3</v>
      </c>
      <c r="G625" s="6" t="s">
        <v>111</v>
      </c>
      <c r="H625" s="6">
        <v>32.82</v>
      </c>
      <c r="I625" s="6" t="s">
        <v>14</v>
      </c>
    </row>
    <row r="626" spans="1:9" x14ac:dyDescent="0.35">
      <c r="A626" s="34">
        <v>45440</v>
      </c>
      <c r="B626" s="34" t="str">
        <f t="shared" si="19"/>
        <v>May</v>
      </c>
      <c r="C626" s="4" t="str">
        <f t="shared" si="18"/>
        <v>Tuesday</v>
      </c>
      <c r="D626" s="5">
        <v>45440.491880717593</v>
      </c>
      <c r="E626" s="6" t="str" cm="1">
        <f t="array" ref="E626">_xlfn.IFS(HOUR(D626)&gt;=20,"20-24 ",HOUR(D626)&gt;=16,"16-20",HOUR(D626)&gt;=12,"12-16",HOUR(D626)&lt;12,"7-12")</f>
        <v>7-12</v>
      </c>
      <c r="F626" s="6" t="s">
        <v>3</v>
      </c>
      <c r="G626" s="6" t="s">
        <v>243</v>
      </c>
      <c r="H626" s="6">
        <v>37.72</v>
      </c>
      <c r="I626" s="6" t="s">
        <v>43</v>
      </c>
    </row>
    <row r="627" spans="1:9" x14ac:dyDescent="0.35">
      <c r="A627" s="34">
        <v>45440</v>
      </c>
      <c r="B627" s="34" t="str">
        <f t="shared" si="19"/>
        <v>May</v>
      </c>
      <c r="C627" s="4" t="str">
        <f t="shared" si="18"/>
        <v>Tuesday</v>
      </c>
      <c r="D627" s="5">
        <v>45440.551856886574</v>
      </c>
      <c r="E627" s="6" t="str" cm="1">
        <f t="array" ref="E627">_xlfn.IFS(HOUR(D627)&gt;=20,"20-24 ",HOUR(D627)&gt;=16,"16-20",HOUR(D627)&gt;=12,"12-16",HOUR(D627)&lt;12,"7-12")</f>
        <v>12-16</v>
      </c>
      <c r="F627" s="6" t="s">
        <v>3</v>
      </c>
      <c r="G627" s="6" t="s">
        <v>244</v>
      </c>
      <c r="H627" s="6">
        <v>37.72</v>
      </c>
      <c r="I627" s="6" t="s">
        <v>43</v>
      </c>
    </row>
    <row r="628" spans="1:9" x14ac:dyDescent="0.35">
      <c r="A628" s="34">
        <v>45440</v>
      </c>
      <c r="B628" s="34" t="str">
        <f t="shared" si="19"/>
        <v>May</v>
      </c>
      <c r="C628" s="4" t="str">
        <f t="shared" si="18"/>
        <v>Tuesday</v>
      </c>
      <c r="D628" s="5">
        <v>45440.590899201386</v>
      </c>
      <c r="E628" s="6" t="str" cm="1">
        <f t="array" ref="E628">_xlfn.IFS(HOUR(D628)&gt;=20,"20-24 ",HOUR(D628)&gt;=16,"16-20",HOUR(D628)&gt;=12,"12-16",HOUR(D628)&lt;12,"7-12")</f>
        <v>12-16</v>
      </c>
      <c r="F628" s="6" t="s">
        <v>3</v>
      </c>
      <c r="G628" s="6" t="s">
        <v>208</v>
      </c>
      <c r="H628" s="6">
        <v>37.72</v>
      </c>
      <c r="I628" s="6" t="s">
        <v>18</v>
      </c>
    </row>
    <row r="629" spans="1:9" x14ac:dyDescent="0.35">
      <c r="A629" s="34">
        <v>45440</v>
      </c>
      <c r="B629" s="34" t="str">
        <f t="shared" si="19"/>
        <v>May</v>
      </c>
      <c r="C629" s="4" t="str">
        <f t="shared" si="18"/>
        <v>Tuesday</v>
      </c>
      <c r="D629" s="5">
        <v>45440.684482986115</v>
      </c>
      <c r="E629" s="6" t="str" cm="1">
        <f t="array" ref="E629">_xlfn.IFS(HOUR(D629)&gt;=20,"20-24 ",HOUR(D629)&gt;=16,"16-20",HOUR(D629)&gt;=12,"12-16",HOUR(D629)&lt;12,"7-12")</f>
        <v>16-20</v>
      </c>
      <c r="F629" s="6" t="s">
        <v>3</v>
      </c>
      <c r="G629" s="6" t="s">
        <v>155</v>
      </c>
      <c r="H629" s="6">
        <v>27.92</v>
      </c>
      <c r="I629" s="6" t="s">
        <v>28</v>
      </c>
    </row>
    <row r="630" spans="1:9" x14ac:dyDescent="0.35">
      <c r="A630" s="34">
        <v>45440</v>
      </c>
      <c r="B630" s="34" t="str">
        <f t="shared" si="19"/>
        <v>May</v>
      </c>
      <c r="C630" s="4" t="str">
        <f t="shared" si="18"/>
        <v>Tuesday</v>
      </c>
      <c r="D630" s="5">
        <v>45440.723425543983</v>
      </c>
      <c r="E630" s="6" t="str" cm="1">
        <f t="array" ref="E630">_xlfn.IFS(HOUR(D630)&gt;=20,"20-24 ",HOUR(D630)&gt;=16,"16-20",HOUR(D630)&gt;=12,"12-16",HOUR(D630)&lt;12,"7-12")</f>
        <v>16-20</v>
      </c>
      <c r="F630" s="6" t="s">
        <v>21</v>
      </c>
      <c r="G630" s="6" t="s">
        <v>463</v>
      </c>
      <c r="H630" s="6">
        <v>39</v>
      </c>
      <c r="I630" s="6" t="s">
        <v>43</v>
      </c>
    </row>
    <row r="631" spans="1:9" x14ac:dyDescent="0.35">
      <c r="A631" s="34">
        <v>45440</v>
      </c>
      <c r="B631" s="34" t="str">
        <f t="shared" si="19"/>
        <v>May</v>
      </c>
      <c r="C631" s="4" t="str">
        <f t="shared" si="18"/>
        <v>Tuesday</v>
      </c>
      <c r="D631" s="5">
        <v>45440.798253113426</v>
      </c>
      <c r="E631" s="6" t="str" cm="1">
        <f t="array" ref="E631">_xlfn.IFS(HOUR(D631)&gt;=20,"20-24 ",HOUR(D631)&gt;=16,"16-20",HOUR(D631)&gt;=12,"12-16",HOUR(D631)&lt;12,"7-12")</f>
        <v>16-20</v>
      </c>
      <c r="F631" s="6" t="s">
        <v>3</v>
      </c>
      <c r="G631" s="6" t="s">
        <v>245</v>
      </c>
      <c r="H631" s="6">
        <v>27.92</v>
      </c>
      <c r="I631" s="6" t="s">
        <v>11</v>
      </c>
    </row>
    <row r="632" spans="1:9" x14ac:dyDescent="0.35">
      <c r="A632" s="34">
        <v>45440</v>
      </c>
      <c r="B632" s="34" t="str">
        <f t="shared" si="19"/>
        <v>May</v>
      </c>
      <c r="C632" s="4" t="str">
        <f t="shared" si="18"/>
        <v>Tuesday</v>
      </c>
      <c r="D632" s="5">
        <v>45440.798970717595</v>
      </c>
      <c r="E632" s="6" t="str" cm="1">
        <f t="array" ref="E632">_xlfn.IFS(HOUR(D632)&gt;=20,"20-24 ",HOUR(D632)&gt;=16,"16-20",HOUR(D632)&gt;=12,"12-16",HOUR(D632)&lt;12,"7-12")</f>
        <v>16-20</v>
      </c>
      <c r="F632" s="6" t="s">
        <v>3</v>
      </c>
      <c r="G632" s="6" t="s">
        <v>245</v>
      </c>
      <c r="H632" s="6">
        <v>37.72</v>
      </c>
      <c r="I632" s="6" t="s">
        <v>7</v>
      </c>
    </row>
    <row r="633" spans="1:9" x14ac:dyDescent="0.35">
      <c r="A633" s="34">
        <v>45440</v>
      </c>
      <c r="B633" s="34" t="str">
        <f t="shared" si="19"/>
        <v>May</v>
      </c>
      <c r="C633" s="4" t="str">
        <f t="shared" si="18"/>
        <v>Tuesday</v>
      </c>
      <c r="D633" s="5">
        <v>45440.850372743058</v>
      </c>
      <c r="E633" s="6" t="str" cm="1">
        <f t="array" ref="E633">_xlfn.IFS(HOUR(D633)&gt;=20,"20-24 ",HOUR(D633)&gt;=16,"16-20",HOUR(D633)&gt;=12,"12-16",HOUR(D633)&lt;12,"7-12")</f>
        <v xml:space="preserve">20-24 </v>
      </c>
      <c r="F633" s="6" t="s">
        <v>3</v>
      </c>
      <c r="G633" s="6" t="s">
        <v>19</v>
      </c>
      <c r="H633" s="6">
        <v>32.82</v>
      </c>
      <c r="I633" s="6" t="s">
        <v>14</v>
      </c>
    </row>
    <row r="634" spans="1:9" x14ac:dyDescent="0.35">
      <c r="A634" s="34">
        <v>45440</v>
      </c>
      <c r="B634" s="34" t="str">
        <f t="shared" si="19"/>
        <v>May</v>
      </c>
      <c r="C634" s="4" t="str">
        <f t="shared" si="18"/>
        <v>Tuesday</v>
      </c>
      <c r="D634" s="5">
        <v>45440.868280659721</v>
      </c>
      <c r="E634" s="6" t="str" cm="1">
        <f t="array" ref="E634">_xlfn.IFS(HOUR(D634)&gt;=20,"20-24 ",HOUR(D634)&gt;=16,"16-20",HOUR(D634)&gt;=12,"12-16",HOUR(D634)&lt;12,"7-12")</f>
        <v xml:space="preserve">20-24 </v>
      </c>
      <c r="F634" s="6" t="s">
        <v>3</v>
      </c>
      <c r="G634" s="6" t="s">
        <v>23</v>
      </c>
      <c r="H634" s="6">
        <v>27.92</v>
      </c>
      <c r="I634" s="6" t="s">
        <v>11</v>
      </c>
    </row>
    <row r="635" spans="1:9" x14ac:dyDescent="0.35">
      <c r="A635" s="34">
        <v>45441</v>
      </c>
      <c r="B635" s="34" t="str">
        <f t="shared" si="19"/>
        <v>May</v>
      </c>
      <c r="C635" s="4" t="str">
        <f t="shared" si="18"/>
        <v>Wednesday</v>
      </c>
      <c r="D635" s="5">
        <v>45441.385228055558</v>
      </c>
      <c r="E635" s="6" t="str" cm="1">
        <f t="array" ref="E635">_xlfn.IFS(HOUR(D635)&gt;=20,"20-24 ",HOUR(D635)&gt;=16,"16-20",HOUR(D635)&gt;=12,"12-16",HOUR(D635)&lt;12,"7-12")</f>
        <v>7-12</v>
      </c>
      <c r="F635" s="6" t="s">
        <v>3</v>
      </c>
      <c r="G635" s="6" t="s">
        <v>246</v>
      </c>
      <c r="H635" s="6">
        <v>37.72</v>
      </c>
      <c r="I635" s="6" t="s">
        <v>7</v>
      </c>
    </row>
    <row r="636" spans="1:9" x14ac:dyDescent="0.35">
      <c r="A636" s="34">
        <v>45441</v>
      </c>
      <c r="B636" s="34" t="str">
        <f t="shared" si="19"/>
        <v>May</v>
      </c>
      <c r="C636" s="4" t="str">
        <f t="shared" si="18"/>
        <v>Wednesday</v>
      </c>
      <c r="D636" s="5">
        <v>45441.450541446757</v>
      </c>
      <c r="E636" s="6" t="str" cm="1">
        <f t="array" ref="E636">_xlfn.IFS(HOUR(D636)&gt;=20,"20-24 ",HOUR(D636)&gt;=16,"16-20",HOUR(D636)&gt;=12,"12-16",HOUR(D636)&lt;12,"7-12")</f>
        <v>7-12</v>
      </c>
      <c r="F636" s="6" t="s">
        <v>21</v>
      </c>
      <c r="G636" s="6" t="s">
        <v>463</v>
      </c>
      <c r="H636" s="6">
        <v>39</v>
      </c>
      <c r="I636" s="6" t="s">
        <v>7</v>
      </c>
    </row>
    <row r="637" spans="1:9" x14ac:dyDescent="0.35">
      <c r="A637" s="34">
        <v>45441</v>
      </c>
      <c r="B637" s="34" t="str">
        <f t="shared" si="19"/>
        <v>May</v>
      </c>
      <c r="C637" s="4" t="str">
        <f t="shared" si="18"/>
        <v>Wednesday</v>
      </c>
      <c r="D637" s="5">
        <v>45441.46808859954</v>
      </c>
      <c r="E637" s="6" t="str" cm="1">
        <f t="array" ref="E637">_xlfn.IFS(HOUR(D637)&gt;=20,"20-24 ",HOUR(D637)&gt;=16,"16-20",HOUR(D637)&gt;=12,"12-16",HOUR(D637)&lt;12,"7-12")</f>
        <v>7-12</v>
      </c>
      <c r="F637" s="6" t="s">
        <v>3</v>
      </c>
      <c r="G637" s="6" t="s">
        <v>247</v>
      </c>
      <c r="H637" s="6">
        <v>37.72</v>
      </c>
      <c r="I637" s="6" t="s">
        <v>9</v>
      </c>
    </row>
    <row r="638" spans="1:9" x14ac:dyDescent="0.35">
      <c r="A638" s="34">
        <v>45441</v>
      </c>
      <c r="B638" s="34" t="str">
        <f t="shared" si="19"/>
        <v>May</v>
      </c>
      <c r="C638" s="4" t="str">
        <f t="shared" si="18"/>
        <v>Wednesday</v>
      </c>
      <c r="D638" s="5">
        <v>45441.632506307869</v>
      </c>
      <c r="E638" s="6" t="str" cm="1">
        <f t="array" ref="E638">_xlfn.IFS(HOUR(D638)&gt;=20,"20-24 ",HOUR(D638)&gt;=16,"16-20",HOUR(D638)&gt;=12,"12-16",HOUR(D638)&lt;12,"7-12")</f>
        <v>12-16</v>
      </c>
      <c r="F638" s="6" t="s">
        <v>3</v>
      </c>
      <c r="G638" s="6" t="s">
        <v>248</v>
      </c>
      <c r="H638" s="6">
        <v>27.92</v>
      </c>
      <c r="I638" s="6" t="s">
        <v>11</v>
      </c>
    </row>
    <row r="639" spans="1:9" x14ac:dyDescent="0.35">
      <c r="A639" s="34">
        <v>45441</v>
      </c>
      <c r="B639" s="34" t="str">
        <f t="shared" si="19"/>
        <v>May</v>
      </c>
      <c r="C639" s="4" t="str">
        <f t="shared" si="18"/>
        <v>Wednesday</v>
      </c>
      <c r="D639" s="5">
        <v>45441.640929641202</v>
      </c>
      <c r="E639" s="6" t="str" cm="1">
        <f t="array" ref="E639">_xlfn.IFS(HOUR(D639)&gt;=20,"20-24 ",HOUR(D639)&gt;=16,"16-20",HOUR(D639)&gt;=12,"12-16",HOUR(D639)&lt;12,"7-12")</f>
        <v>12-16</v>
      </c>
      <c r="F639" s="6" t="s">
        <v>3</v>
      </c>
      <c r="G639" s="6" t="s">
        <v>249</v>
      </c>
      <c r="H639" s="6">
        <v>37.72</v>
      </c>
      <c r="I639" s="6" t="s">
        <v>7</v>
      </c>
    </row>
    <row r="640" spans="1:9" x14ac:dyDescent="0.35">
      <c r="A640" s="34">
        <v>45441</v>
      </c>
      <c r="B640" s="34" t="str">
        <f t="shared" si="19"/>
        <v>May</v>
      </c>
      <c r="C640" s="4" t="str">
        <f t="shared" si="18"/>
        <v>Wednesday</v>
      </c>
      <c r="D640" s="5">
        <v>45441.656397430554</v>
      </c>
      <c r="E640" s="6" t="str" cm="1">
        <f t="array" ref="E640">_xlfn.IFS(HOUR(D640)&gt;=20,"20-24 ",HOUR(D640)&gt;=16,"16-20",HOUR(D640)&gt;=12,"12-16",HOUR(D640)&lt;12,"7-12")</f>
        <v>12-16</v>
      </c>
      <c r="F640" s="6" t="s">
        <v>3</v>
      </c>
      <c r="G640" s="6" t="s">
        <v>250</v>
      </c>
      <c r="H640" s="6">
        <v>37.72</v>
      </c>
      <c r="I640" s="6" t="s">
        <v>43</v>
      </c>
    </row>
    <row r="641" spans="1:9" x14ac:dyDescent="0.35">
      <c r="A641" s="34">
        <v>45441</v>
      </c>
      <c r="B641" s="34" t="str">
        <f t="shared" si="19"/>
        <v>May</v>
      </c>
      <c r="C641" s="4" t="str">
        <f t="shared" si="18"/>
        <v>Wednesday</v>
      </c>
      <c r="D641" s="5">
        <v>45441.697962384256</v>
      </c>
      <c r="E641" s="6" t="str" cm="1">
        <f t="array" ref="E641">_xlfn.IFS(HOUR(D641)&gt;=20,"20-24 ",HOUR(D641)&gt;=16,"16-20",HOUR(D641)&gt;=12,"12-16",HOUR(D641)&lt;12,"7-12")</f>
        <v>16-20</v>
      </c>
      <c r="F641" s="6" t="s">
        <v>3</v>
      </c>
      <c r="G641" s="6" t="s">
        <v>251</v>
      </c>
      <c r="H641" s="6">
        <v>37.72</v>
      </c>
      <c r="I641" s="6" t="s">
        <v>7</v>
      </c>
    </row>
    <row r="642" spans="1:9" x14ac:dyDescent="0.35">
      <c r="A642" s="34">
        <v>45441</v>
      </c>
      <c r="B642" s="34" t="str">
        <f t="shared" si="19"/>
        <v>May</v>
      </c>
      <c r="C642" s="4" t="str">
        <f t="shared" ref="C642:C705" si="20">TEXT(A642,"ddddddddd")</f>
        <v>Wednesday</v>
      </c>
      <c r="D642" s="5">
        <v>45441.766705254631</v>
      </c>
      <c r="E642" s="6" t="str" cm="1">
        <f t="array" ref="E642">_xlfn.IFS(HOUR(D642)&gt;=20,"20-24 ",HOUR(D642)&gt;=16,"16-20",HOUR(D642)&gt;=12,"12-16",HOUR(D642)&lt;12,"7-12")</f>
        <v>16-20</v>
      </c>
      <c r="F642" s="6" t="s">
        <v>3</v>
      </c>
      <c r="G642" s="6" t="s">
        <v>252</v>
      </c>
      <c r="H642" s="6">
        <v>27.92</v>
      </c>
      <c r="I642" s="6" t="s">
        <v>28</v>
      </c>
    </row>
    <row r="643" spans="1:9" x14ac:dyDescent="0.35">
      <c r="A643" s="34">
        <v>45441</v>
      </c>
      <c r="B643" s="34" t="str">
        <f t="shared" ref="B643:B706" si="21">TEXT(A643, "mmmm")</f>
        <v>May</v>
      </c>
      <c r="C643" s="4" t="str">
        <f t="shared" si="20"/>
        <v>Wednesday</v>
      </c>
      <c r="D643" s="5">
        <v>45441.767353136573</v>
      </c>
      <c r="E643" s="6" t="str" cm="1">
        <f t="array" ref="E643">_xlfn.IFS(HOUR(D643)&gt;=20,"20-24 ",HOUR(D643)&gt;=16,"16-20",HOUR(D643)&gt;=12,"12-16",HOUR(D643)&lt;12,"7-12")</f>
        <v>16-20</v>
      </c>
      <c r="F643" s="6" t="s">
        <v>3</v>
      </c>
      <c r="G643" s="6" t="s">
        <v>252</v>
      </c>
      <c r="H643" s="6">
        <v>37.72</v>
      </c>
      <c r="I643" s="6" t="s">
        <v>7</v>
      </c>
    </row>
    <row r="644" spans="1:9" x14ac:dyDescent="0.35">
      <c r="A644" s="34">
        <v>45441</v>
      </c>
      <c r="B644" s="34" t="str">
        <f t="shared" si="21"/>
        <v>May</v>
      </c>
      <c r="C644" s="4" t="str">
        <f t="shared" si="20"/>
        <v>Wednesday</v>
      </c>
      <c r="D644" s="5">
        <v>45441.854655555559</v>
      </c>
      <c r="E644" s="6" t="str" cm="1">
        <f t="array" ref="E644">_xlfn.IFS(HOUR(D644)&gt;=20,"20-24 ",HOUR(D644)&gt;=16,"16-20",HOUR(D644)&gt;=12,"12-16",HOUR(D644)&lt;12,"7-12")</f>
        <v xml:space="preserve">20-24 </v>
      </c>
      <c r="F644" s="6" t="s">
        <v>3</v>
      </c>
      <c r="G644" s="6" t="s">
        <v>253</v>
      </c>
      <c r="H644" s="6">
        <v>37.72</v>
      </c>
      <c r="I644" s="6" t="s">
        <v>9</v>
      </c>
    </row>
    <row r="645" spans="1:9" x14ac:dyDescent="0.35">
      <c r="A645" s="34">
        <v>45441</v>
      </c>
      <c r="B645" s="34" t="str">
        <f t="shared" si="21"/>
        <v>May</v>
      </c>
      <c r="C645" s="4" t="str">
        <f t="shared" si="20"/>
        <v>Wednesday</v>
      </c>
      <c r="D645" s="5">
        <v>45441.85596296296</v>
      </c>
      <c r="E645" s="6" t="str" cm="1">
        <f t="array" ref="E645">_xlfn.IFS(HOUR(D645)&gt;=20,"20-24 ",HOUR(D645)&gt;=16,"16-20",HOUR(D645)&gt;=12,"12-16",HOUR(D645)&lt;12,"7-12")</f>
        <v xml:space="preserve">20-24 </v>
      </c>
      <c r="F645" s="6" t="s">
        <v>3</v>
      </c>
      <c r="G645" s="6" t="s">
        <v>254</v>
      </c>
      <c r="H645" s="6">
        <v>37.72</v>
      </c>
      <c r="I645" s="6" t="s">
        <v>18</v>
      </c>
    </row>
    <row r="646" spans="1:9" x14ac:dyDescent="0.35">
      <c r="A646" s="34">
        <v>45442</v>
      </c>
      <c r="B646" s="34" t="str">
        <f t="shared" si="21"/>
        <v>May</v>
      </c>
      <c r="C646" s="4" t="str">
        <f t="shared" si="20"/>
        <v>Thursday</v>
      </c>
      <c r="D646" s="5">
        <v>45442.353544872683</v>
      </c>
      <c r="E646" s="6" t="str" cm="1">
        <f t="array" ref="E646">_xlfn.IFS(HOUR(D646)&gt;=20,"20-24 ",HOUR(D646)&gt;=16,"16-20",HOUR(D646)&gt;=12,"12-16",HOUR(D646)&lt;12,"7-12")</f>
        <v>7-12</v>
      </c>
      <c r="F646" s="6" t="s">
        <v>3</v>
      </c>
      <c r="G646" s="6" t="s">
        <v>255</v>
      </c>
      <c r="H646" s="6">
        <v>37.72</v>
      </c>
      <c r="I646" s="6" t="s">
        <v>43</v>
      </c>
    </row>
    <row r="647" spans="1:9" x14ac:dyDescent="0.35">
      <c r="A647" s="34">
        <v>45442</v>
      </c>
      <c r="B647" s="34" t="str">
        <f t="shared" si="21"/>
        <v>May</v>
      </c>
      <c r="C647" s="4" t="str">
        <f t="shared" si="20"/>
        <v>Thursday</v>
      </c>
      <c r="D647" s="5">
        <v>45442.354416504633</v>
      </c>
      <c r="E647" s="6" t="str" cm="1">
        <f t="array" ref="E647">_xlfn.IFS(HOUR(D647)&gt;=20,"20-24 ",HOUR(D647)&gt;=16,"16-20",HOUR(D647)&gt;=12,"12-16",HOUR(D647)&lt;12,"7-12")</f>
        <v>7-12</v>
      </c>
      <c r="F647" s="6" t="s">
        <v>3</v>
      </c>
      <c r="G647" s="6" t="s">
        <v>255</v>
      </c>
      <c r="H647" s="6">
        <v>37.72</v>
      </c>
      <c r="I647" s="6" t="s">
        <v>7</v>
      </c>
    </row>
    <row r="648" spans="1:9" x14ac:dyDescent="0.35">
      <c r="A648" s="34">
        <v>45442</v>
      </c>
      <c r="B648" s="34" t="str">
        <f t="shared" si="21"/>
        <v>May</v>
      </c>
      <c r="C648" s="4" t="str">
        <f t="shared" si="20"/>
        <v>Thursday</v>
      </c>
      <c r="D648" s="5">
        <v>45442.359090069447</v>
      </c>
      <c r="E648" s="6" t="str" cm="1">
        <f t="array" ref="E648">_xlfn.IFS(HOUR(D648)&gt;=20,"20-24 ",HOUR(D648)&gt;=16,"16-20",HOUR(D648)&gt;=12,"12-16",HOUR(D648)&lt;12,"7-12")</f>
        <v>7-12</v>
      </c>
      <c r="F648" s="6" t="s">
        <v>3</v>
      </c>
      <c r="G648" s="6" t="s">
        <v>256</v>
      </c>
      <c r="H648" s="6">
        <v>32.82</v>
      </c>
      <c r="I648" s="6" t="s">
        <v>14</v>
      </c>
    </row>
    <row r="649" spans="1:9" x14ac:dyDescent="0.35">
      <c r="A649" s="34">
        <v>45442</v>
      </c>
      <c r="B649" s="34" t="str">
        <f t="shared" si="21"/>
        <v>May</v>
      </c>
      <c r="C649" s="4" t="str">
        <f t="shared" si="20"/>
        <v>Thursday</v>
      </c>
      <c r="D649" s="5">
        <v>45442.408322824071</v>
      </c>
      <c r="E649" s="6" t="str" cm="1">
        <f t="array" ref="E649">_xlfn.IFS(HOUR(D649)&gt;=20,"20-24 ",HOUR(D649)&gt;=16,"16-20",HOUR(D649)&gt;=12,"12-16",HOUR(D649)&lt;12,"7-12")</f>
        <v>7-12</v>
      </c>
      <c r="F649" s="6" t="s">
        <v>3</v>
      </c>
      <c r="G649" s="6" t="s">
        <v>6</v>
      </c>
      <c r="H649" s="6">
        <v>37.72</v>
      </c>
      <c r="I649" s="6" t="s">
        <v>7</v>
      </c>
    </row>
    <row r="650" spans="1:9" x14ac:dyDescent="0.35">
      <c r="A650" s="34">
        <v>45442</v>
      </c>
      <c r="B650" s="34" t="str">
        <f t="shared" si="21"/>
        <v>May</v>
      </c>
      <c r="C650" s="4" t="str">
        <f t="shared" si="20"/>
        <v>Thursday</v>
      </c>
      <c r="D650" s="5">
        <v>45442.622401307868</v>
      </c>
      <c r="E650" s="6" t="str" cm="1">
        <f t="array" ref="E650">_xlfn.IFS(HOUR(D650)&gt;=20,"20-24 ",HOUR(D650)&gt;=16,"16-20",HOUR(D650)&gt;=12,"12-16",HOUR(D650)&lt;12,"7-12")</f>
        <v>12-16</v>
      </c>
      <c r="F650" s="6" t="s">
        <v>3</v>
      </c>
      <c r="G650" s="6" t="s">
        <v>111</v>
      </c>
      <c r="H650" s="6">
        <v>32.82</v>
      </c>
      <c r="I650" s="6" t="s">
        <v>14</v>
      </c>
    </row>
    <row r="651" spans="1:9" x14ac:dyDescent="0.35">
      <c r="A651" s="34">
        <v>45442</v>
      </c>
      <c r="B651" s="34" t="str">
        <f t="shared" si="21"/>
        <v>May</v>
      </c>
      <c r="C651" s="4" t="str">
        <f t="shared" si="20"/>
        <v>Thursday</v>
      </c>
      <c r="D651" s="5">
        <v>45442.636292418982</v>
      </c>
      <c r="E651" s="6" t="str" cm="1">
        <f t="array" ref="E651">_xlfn.IFS(HOUR(D651)&gt;=20,"20-24 ",HOUR(D651)&gt;=16,"16-20",HOUR(D651)&gt;=12,"12-16",HOUR(D651)&lt;12,"7-12")</f>
        <v>12-16</v>
      </c>
      <c r="F651" s="6" t="s">
        <v>3</v>
      </c>
      <c r="G651" s="6" t="s">
        <v>257</v>
      </c>
      <c r="H651" s="6">
        <v>23.02</v>
      </c>
      <c r="I651" s="6" t="s">
        <v>35</v>
      </c>
    </row>
    <row r="652" spans="1:9" x14ac:dyDescent="0.35">
      <c r="A652" s="34">
        <v>45442</v>
      </c>
      <c r="B652" s="34" t="str">
        <f t="shared" si="21"/>
        <v>May</v>
      </c>
      <c r="C652" s="4" t="str">
        <f t="shared" si="20"/>
        <v>Thursday</v>
      </c>
      <c r="D652" s="5">
        <v>45442.637252962966</v>
      </c>
      <c r="E652" s="6" t="str" cm="1">
        <f t="array" ref="E652">_xlfn.IFS(HOUR(D652)&gt;=20,"20-24 ",HOUR(D652)&gt;=16,"16-20",HOUR(D652)&gt;=12,"12-16",HOUR(D652)&lt;12,"7-12")</f>
        <v>12-16</v>
      </c>
      <c r="F652" s="6" t="s">
        <v>3</v>
      </c>
      <c r="G652" s="6" t="s">
        <v>23</v>
      </c>
      <c r="H652" s="6">
        <v>23.02</v>
      </c>
      <c r="I652" s="6" t="s">
        <v>35</v>
      </c>
    </row>
    <row r="653" spans="1:9" x14ac:dyDescent="0.35">
      <c r="A653" s="34">
        <v>45442</v>
      </c>
      <c r="B653" s="34" t="str">
        <f t="shared" si="21"/>
        <v>May</v>
      </c>
      <c r="C653" s="4" t="str">
        <f t="shared" si="20"/>
        <v>Thursday</v>
      </c>
      <c r="D653" s="5">
        <v>45442.828601724534</v>
      </c>
      <c r="E653" s="6" t="str" cm="1">
        <f t="array" ref="E653">_xlfn.IFS(HOUR(D653)&gt;=20,"20-24 ",HOUR(D653)&gt;=16,"16-20",HOUR(D653)&gt;=12,"12-16",HOUR(D653)&lt;12,"7-12")</f>
        <v>16-20</v>
      </c>
      <c r="F653" s="6" t="s">
        <v>3</v>
      </c>
      <c r="G653" s="6" t="s">
        <v>220</v>
      </c>
      <c r="H653" s="6">
        <v>37.72</v>
      </c>
      <c r="I653" s="6" t="s">
        <v>43</v>
      </c>
    </row>
    <row r="654" spans="1:9" x14ac:dyDescent="0.35">
      <c r="A654" s="34">
        <v>45442</v>
      </c>
      <c r="B654" s="34" t="str">
        <f t="shared" si="21"/>
        <v>May</v>
      </c>
      <c r="C654" s="4" t="str">
        <f t="shared" si="20"/>
        <v>Thursday</v>
      </c>
      <c r="D654" s="5">
        <v>45442.85492395833</v>
      </c>
      <c r="E654" s="6" t="str" cm="1">
        <f t="array" ref="E654">_xlfn.IFS(HOUR(D654)&gt;=20,"20-24 ",HOUR(D654)&gt;=16,"16-20",HOUR(D654)&gt;=12,"12-16",HOUR(D654)&lt;12,"7-12")</f>
        <v xml:space="preserve">20-24 </v>
      </c>
      <c r="F654" s="6" t="s">
        <v>3</v>
      </c>
      <c r="G654" s="6" t="s">
        <v>258</v>
      </c>
      <c r="H654" s="6">
        <v>37.72</v>
      </c>
      <c r="I654" s="6" t="s">
        <v>7</v>
      </c>
    </row>
    <row r="655" spans="1:9" x14ac:dyDescent="0.35">
      <c r="A655" s="34">
        <v>45442</v>
      </c>
      <c r="B655" s="34" t="str">
        <f t="shared" si="21"/>
        <v>May</v>
      </c>
      <c r="C655" s="4" t="str">
        <f t="shared" si="20"/>
        <v>Thursday</v>
      </c>
      <c r="D655" s="5">
        <v>45442.865437905093</v>
      </c>
      <c r="E655" s="6" t="str" cm="1">
        <f t="array" ref="E655">_xlfn.IFS(HOUR(D655)&gt;=20,"20-24 ",HOUR(D655)&gt;=16,"16-20",HOUR(D655)&gt;=12,"12-16",HOUR(D655)&lt;12,"7-12")</f>
        <v xml:space="preserve">20-24 </v>
      </c>
      <c r="F655" s="6" t="s">
        <v>3</v>
      </c>
      <c r="G655" s="6" t="s">
        <v>19</v>
      </c>
      <c r="H655" s="6">
        <v>37.72</v>
      </c>
      <c r="I655" s="6" t="s">
        <v>9</v>
      </c>
    </row>
    <row r="656" spans="1:9" x14ac:dyDescent="0.35">
      <c r="A656" s="34">
        <v>45442</v>
      </c>
      <c r="B656" s="34" t="str">
        <f t="shared" si="21"/>
        <v>May</v>
      </c>
      <c r="C656" s="4" t="str">
        <f t="shared" si="20"/>
        <v>Thursday</v>
      </c>
      <c r="D656" s="5">
        <v>45442.866222060184</v>
      </c>
      <c r="E656" s="6" t="str" cm="1">
        <f t="array" ref="E656">_xlfn.IFS(HOUR(D656)&gt;=20,"20-24 ",HOUR(D656)&gt;=16,"16-20",HOUR(D656)&gt;=12,"12-16",HOUR(D656)&lt;12,"7-12")</f>
        <v xml:space="preserve">20-24 </v>
      </c>
      <c r="F656" s="6" t="s">
        <v>3</v>
      </c>
      <c r="G656" s="6" t="s">
        <v>19</v>
      </c>
      <c r="H656" s="6">
        <v>32.82</v>
      </c>
      <c r="I656" s="6" t="s">
        <v>14</v>
      </c>
    </row>
    <row r="657" spans="1:9" x14ac:dyDescent="0.35">
      <c r="A657" s="34">
        <v>45443</v>
      </c>
      <c r="B657" s="34" t="str">
        <f t="shared" si="21"/>
        <v>May</v>
      </c>
      <c r="C657" s="4" t="str">
        <f t="shared" si="20"/>
        <v>Friday</v>
      </c>
      <c r="D657" s="5">
        <v>45443.329135115739</v>
      </c>
      <c r="E657" s="6" t="str" cm="1">
        <f t="array" ref="E657">_xlfn.IFS(HOUR(D657)&gt;=20,"20-24 ",HOUR(D657)&gt;=16,"16-20",HOUR(D657)&gt;=12,"12-16",HOUR(D657)&lt;12,"7-12")</f>
        <v>7-12</v>
      </c>
      <c r="F657" s="6" t="s">
        <v>3</v>
      </c>
      <c r="G657" s="6" t="s">
        <v>259</v>
      </c>
      <c r="H657" s="6">
        <v>32.82</v>
      </c>
      <c r="I657" s="6" t="s">
        <v>14</v>
      </c>
    </row>
    <row r="658" spans="1:9" x14ac:dyDescent="0.35">
      <c r="A658" s="34">
        <v>45443</v>
      </c>
      <c r="B658" s="34" t="str">
        <f t="shared" si="21"/>
        <v>May</v>
      </c>
      <c r="C658" s="4" t="str">
        <f t="shared" si="20"/>
        <v>Friday</v>
      </c>
      <c r="D658" s="5">
        <v>45443.389673854166</v>
      </c>
      <c r="E658" s="6" t="str" cm="1">
        <f t="array" ref="E658">_xlfn.IFS(HOUR(D658)&gt;=20,"20-24 ",HOUR(D658)&gt;=16,"16-20",HOUR(D658)&gt;=12,"12-16",HOUR(D658)&lt;12,"7-12")</f>
        <v>7-12</v>
      </c>
      <c r="F658" s="6" t="s">
        <v>3</v>
      </c>
      <c r="G658" s="6" t="s">
        <v>260</v>
      </c>
      <c r="H658" s="6">
        <v>37.72</v>
      </c>
      <c r="I658" s="6" t="s">
        <v>7</v>
      </c>
    </row>
    <row r="659" spans="1:9" x14ac:dyDescent="0.35">
      <c r="A659" s="34">
        <v>45443</v>
      </c>
      <c r="B659" s="34" t="str">
        <f t="shared" si="21"/>
        <v>May</v>
      </c>
      <c r="C659" s="4" t="str">
        <f t="shared" si="20"/>
        <v>Friday</v>
      </c>
      <c r="D659" s="5">
        <v>45443.391652673614</v>
      </c>
      <c r="E659" s="6" t="str" cm="1">
        <f t="array" ref="E659">_xlfn.IFS(HOUR(D659)&gt;=20,"20-24 ",HOUR(D659)&gt;=16,"16-20",HOUR(D659)&gt;=12,"12-16",HOUR(D659)&lt;12,"7-12")</f>
        <v>7-12</v>
      </c>
      <c r="F659" s="6" t="s">
        <v>21</v>
      </c>
      <c r="G659" s="6" t="s">
        <v>463</v>
      </c>
      <c r="H659" s="6">
        <v>39</v>
      </c>
      <c r="I659" s="6" t="s">
        <v>7</v>
      </c>
    </row>
    <row r="660" spans="1:9" x14ac:dyDescent="0.35">
      <c r="A660" s="34">
        <v>45443</v>
      </c>
      <c r="B660" s="34" t="str">
        <f t="shared" si="21"/>
        <v>May</v>
      </c>
      <c r="C660" s="4" t="str">
        <f t="shared" si="20"/>
        <v>Friday</v>
      </c>
      <c r="D660" s="5">
        <v>45443.44314653935</v>
      </c>
      <c r="E660" s="6" t="str" cm="1">
        <f t="array" ref="E660">_xlfn.IFS(HOUR(D660)&gt;=20,"20-24 ",HOUR(D660)&gt;=16,"16-20",HOUR(D660)&gt;=12,"12-16",HOUR(D660)&lt;12,"7-12")</f>
        <v>7-12</v>
      </c>
      <c r="F660" s="6" t="s">
        <v>3</v>
      </c>
      <c r="G660" s="6" t="s">
        <v>261</v>
      </c>
      <c r="H660" s="6">
        <v>37.72</v>
      </c>
      <c r="I660" s="6" t="s">
        <v>9</v>
      </c>
    </row>
    <row r="661" spans="1:9" x14ac:dyDescent="0.35">
      <c r="A661" s="34">
        <v>45443</v>
      </c>
      <c r="B661" s="34" t="str">
        <f t="shared" si="21"/>
        <v>May</v>
      </c>
      <c r="C661" s="4" t="str">
        <f t="shared" si="20"/>
        <v>Friday</v>
      </c>
      <c r="D661" s="5">
        <v>45443.443821018518</v>
      </c>
      <c r="E661" s="6" t="str" cm="1">
        <f t="array" ref="E661">_xlfn.IFS(HOUR(D661)&gt;=20,"20-24 ",HOUR(D661)&gt;=16,"16-20",HOUR(D661)&gt;=12,"12-16",HOUR(D661)&lt;12,"7-12")</f>
        <v>7-12</v>
      </c>
      <c r="F661" s="6" t="s">
        <v>3</v>
      </c>
      <c r="G661" s="6" t="s">
        <v>262</v>
      </c>
      <c r="H661" s="6">
        <v>37.72</v>
      </c>
      <c r="I661" s="6" t="s">
        <v>18</v>
      </c>
    </row>
    <row r="662" spans="1:9" x14ac:dyDescent="0.35">
      <c r="A662" s="34">
        <v>45443</v>
      </c>
      <c r="B662" s="34" t="str">
        <f t="shared" si="21"/>
        <v>May</v>
      </c>
      <c r="C662" s="4" t="str">
        <f t="shared" si="20"/>
        <v>Friday</v>
      </c>
      <c r="D662" s="5">
        <v>45443.618205740742</v>
      </c>
      <c r="E662" s="6" t="str" cm="1">
        <f t="array" ref="E662">_xlfn.IFS(HOUR(D662)&gt;=20,"20-24 ",HOUR(D662)&gt;=16,"16-20",HOUR(D662)&gt;=12,"12-16",HOUR(D662)&lt;12,"7-12")</f>
        <v>12-16</v>
      </c>
      <c r="F662" s="6" t="s">
        <v>3</v>
      </c>
      <c r="G662" s="6" t="s">
        <v>263</v>
      </c>
      <c r="H662" s="6">
        <v>32.82</v>
      </c>
      <c r="I662" s="6" t="s">
        <v>14</v>
      </c>
    </row>
    <row r="663" spans="1:9" x14ac:dyDescent="0.35">
      <c r="A663" s="34">
        <v>45443</v>
      </c>
      <c r="B663" s="34" t="str">
        <f t="shared" si="21"/>
        <v>May</v>
      </c>
      <c r="C663" s="4" t="str">
        <f t="shared" si="20"/>
        <v>Friday</v>
      </c>
      <c r="D663" s="5">
        <v>45443.766488842593</v>
      </c>
      <c r="E663" s="6" t="str" cm="1">
        <f t="array" ref="E663">_xlfn.IFS(HOUR(D663)&gt;=20,"20-24 ",HOUR(D663)&gt;=16,"16-20",HOUR(D663)&gt;=12,"12-16",HOUR(D663)&lt;12,"7-12")</f>
        <v>16-20</v>
      </c>
      <c r="F663" s="6" t="s">
        <v>3</v>
      </c>
      <c r="G663" s="6" t="s">
        <v>264</v>
      </c>
      <c r="H663" s="6">
        <v>37.72</v>
      </c>
      <c r="I663" s="6" t="s">
        <v>7</v>
      </c>
    </row>
    <row r="664" spans="1:9" x14ac:dyDescent="0.35">
      <c r="A664" s="34">
        <v>45443</v>
      </c>
      <c r="B664" s="34" t="str">
        <f t="shared" si="21"/>
        <v>May</v>
      </c>
      <c r="C664" s="4" t="str">
        <f t="shared" si="20"/>
        <v>Friday</v>
      </c>
      <c r="D664" s="5">
        <v>45443.767398969911</v>
      </c>
      <c r="E664" s="6" t="str" cm="1">
        <f t="array" ref="E664">_xlfn.IFS(HOUR(D664)&gt;=20,"20-24 ",HOUR(D664)&gt;=16,"16-20",HOUR(D664)&gt;=12,"12-16",HOUR(D664)&lt;12,"7-12")</f>
        <v>16-20</v>
      </c>
      <c r="F664" s="6" t="s">
        <v>3</v>
      </c>
      <c r="G664" s="6" t="s">
        <v>264</v>
      </c>
      <c r="H664" s="6">
        <v>37.72</v>
      </c>
      <c r="I664" s="6" t="s">
        <v>7</v>
      </c>
    </row>
    <row r="665" spans="1:9" x14ac:dyDescent="0.35">
      <c r="A665" s="34">
        <v>45443</v>
      </c>
      <c r="B665" s="34" t="str">
        <f t="shared" si="21"/>
        <v>May</v>
      </c>
      <c r="C665" s="4" t="str">
        <f t="shared" si="20"/>
        <v>Friday</v>
      </c>
      <c r="D665" s="5">
        <v>45443.837953310183</v>
      </c>
      <c r="E665" s="6" t="str" cm="1">
        <f t="array" ref="E665">_xlfn.IFS(HOUR(D665)&gt;=20,"20-24 ",HOUR(D665)&gt;=16,"16-20",HOUR(D665)&gt;=12,"12-16",HOUR(D665)&lt;12,"7-12")</f>
        <v xml:space="preserve">20-24 </v>
      </c>
      <c r="F665" s="6" t="s">
        <v>3</v>
      </c>
      <c r="G665" s="6" t="s">
        <v>194</v>
      </c>
      <c r="H665" s="6">
        <v>37.72</v>
      </c>
      <c r="I665" s="6" t="s">
        <v>43</v>
      </c>
    </row>
    <row r="666" spans="1:9" x14ac:dyDescent="0.35">
      <c r="A666" s="34">
        <v>45443</v>
      </c>
      <c r="B666" s="34" t="str">
        <f t="shared" si="21"/>
        <v>May</v>
      </c>
      <c r="C666" s="4" t="str">
        <f t="shared" si="20"/>
        <v>Friday</v>
      </c>
      <c r="D666" s="5">
        <v>45443.856324108798</v>
      </c>
      <c r="E666" s="6" t="str" cm="1">
        <f t="array" ref="E666">_xlfn.IFS(HOUR(D666)&gt;=20,"20-24 ",HOUR(D666)&gt;=16,"16-20",HOUR(D666)&gt;=12,"12-16",HOUR(D666)&lt;12,"7-12")</f>
        <v xml:space="preserve">20-24 </v>
      </c>
      <c r="F666" s="6" t="s">
        <v>3</v>
      </c>
      <c r="G666" s="6" t="s">
        <v>148</v>
      </c>
      <c r="H666" s="6">
        <v>32.82</v>
      </c>
      <c r="I666" s="6" t="s">
        <v>14</v>
      </c>
    </row>
    <row r="667" spans="1:9" x14ac:dyDescent="0.35">
      <c r="A667" s="34">
        <v>45443</v>
      </c>
      <c r="B667" s="34" t="str">
        <f t="shared" si="21"/>
        <v>May</v>
      </c>
      <c r="C667" s="4" t="str">
        <f t="shared" si="20"/>
        <v>Friday</v>
      </c>
      <c r="D667" s="5">
        <v>45443.857325266203</v>
      </c>
      <c r="E667" s="6" t="str" cm="1">
        <f t="array" ref="E667">_xlfn.IFS(HOUR(D667)&gt;=20,"20-24 ",HOUR(D667)&gt;=16,"16-20",HOUR(D667)&gt;=12,"12-16",HOUR(D667)&lt;12,"7-12")</f>
        <v xml:space="preserve">20-24 </v>
      </c>
      <c r="F667" s="6" t="s">
        <v>3</v>
      </c>
      <c r="G667" s="6" t="s">
        <v>148</v>
      </c>
      <c r="H667" s="6">
        <v>37.72</v>
      </c>
      <c r="I667" s="6" t="s">
        <v>7</v>
      </c>
    </row>
    <row r="668" spans="1:9" x14ac:dyDescent="0.35">
      <c r="A668" s="34">
        <v>45443</v>
      </c>
      <c r="B668" s="34" t="str">
        <f t="shared" si="21"/>
        <v>May</v>
      </c>
      <c r="C668" s="4" t="str">
        <f t="shared" si="20"/>
        <v>Friday</v>
      </c>
      <c r="D668" s="5">
        <v>45443.920683680553</v>
      </c>
      <c r="E668" s="6" t="str" cm="1">
        <f t="array" ref="E668">_xlfn.IFS(HOUR(D668)&gt;=20,"20-24 ",HOUR(D668)&gt;=16,"16-20",HOUR(D668)&gt;=12,"12-16",HOUR(D668)&lt;12,"7-12")</f>
        <v xml:space="preserve">20-24 </v>
      </c>
      <c r="F668" s="6" t="s">
        <v>3</v>
      </c>
      <c r="G668" s="6" t="s">
        <v>220</v>
      </c>
      <c r="H668" s="6">
        <v>37.72</v>
      </c>
      <c r="I668" s="6" t="s">
        <v>43</v>
      </c>
    </row>
    <row r="669" spans="1:9" x14ac:dyDescent="0.35">
      <c r="A669" s="34">
        <v>45443</v>
      </c>
      <c r="B669" s="34" t="str">
        <f t="shared" si="21"/>
        <v>May</v>
      </c>
      <c r="C669" s="4" t="str">
        <f t="shared" si="20"/>
        <v>Friday</v>
      </c>
      <c r="D669" s="5">
        <v>45443.92144085648</v>
      </c>
      <c r="E669" s="6" t="str" cm="1">
        <f t="array" ref="E669">_xlfn.IFS(HOUR(D669)&gt;=20,"20-24 ",HOUR(D669)&gt;=16,"16-20",HOUR(D669)&gt;=12,"12-16",HOUR(D669)&lt;12,"7-12")</f>
        <v xml:space="preserve">20-24 </v>
      </c>
      <c r="F669" s="6" t="s">
        <v>3</v>
      </c>
      <c r="G669" s="6" t="s">
        <v>220</v>
      </c>
      <c r="H669" s="6">
        <v>32.82</v>
      </c>
      <c r="I669" s="6" t="s">
        <v>14</v>
      </c>
    </row>
    <row r="670" spans="1:9" x14ac:dyDescent="0.35">
      <c r="A670" s="34">
        <v>45443</v>
      </c>
      <c r="B670" s="34" t="str">
        <f t="shared" si="21"/>
        <v>May</v>
      </c>
      <c r="C670" s="4" t="str">
        <f t="shared" si="20"/>
        <v>Friday</v>
      </c>
      <c r="D670" s="5">
        <v>45443.922168611112</v>
      </c>
      <c r="E670" s="6" t="str" cm="1">
        <f t="array" ref="E670">_xlfn.IFS(HOUR(D670)&gt;=20,"20-24 ",HOUR(D670)&gt;=16,"16-20",HOUR(D670)&gt;=12,"12-16",HOUR(D670)&lt;12,"7-12")</f>
        <v xml:space="preserve">20-24 </v>
      </c>
      <c r="F670" s="6" t="s">
        <v>3</v>
      </c>
      <c r="G670" s="6" t="s">
        <v>220</v>
      </c>
      <c r="H670" s="6">
        <v>27.92</v>
      </c>
      <c r="I670" s="6" t="s">
        <v>28</v>
      </c>
    </row>
    <row r="671" spans="1:9" x14ac:dyDescent="0.35">
      <c r="A671" s="34">
        <v>45444</v>
      </c>
      <c r="B671" s="34" t="str">
        <f t="shared" si="21"/>
        <v>June</v>
      </c>
      <c r="C671" s="4" t="str">
        <f t="shared" si="20"/>
        <v>Saturday</v>
      </c>
      <c r="D671" s="5">
        <v>45444.352103530095</v>
      </c>
      <c r="E671" s="6" t="str" cm="1">
        <f t="array" ref="E671">_xlfn.IFS(HOUR(D671)&gt;=20,"20-24 ",HOUR(D671)&gt;=16,"16-20",HOUR(D671)&gt;=12,"12-16",HOUR(D671)&lt;12,"7-12")</f>
        <v>7-12</v>
      </c>
      <c r="F671" s="6" t="s">
        <v>3</v>
      </c>
      <c r="G671" s="6" t="s">
        <v>155</v>
      </c>
      <c r="H671" s="6">
        <v>27.92</v>
      </c>
      <c r="I671" s="6" t="s">
        <v>28</v>
      </c>
    </row>
    <row r="672" spans="1:9" x14ac:dyDescent="0.35">
      <c r="A672" s="34">
        <v>45444</v>
      </c>
      <c r="B672" s="34" t="str">
        <f t="shared" si="21"/>
        <v>June</v>
      </c>
      <c r="C672" s="4" t="str">
        <f t="shared" si="20"/>
        <v>Saturday</v>
      </c>
      <c r="D672" s="5">
        <v>45444.408619791669</v>
      </c>
      <c r="E672" s="6" t="str" cm="1">
        <f t="array" ref="E672">_xlfn.IFS(HOUR(D672)&gt;=20,"20-24 ",HOUR(D672)&gt;=16,"16-20",HOUR(D672)&gt;=12,"12-16",HOUR(D672)&lt;12,"7-12")</f>
        <v>7-12</v>
      </c>
      <c r="F672" s="6" t="s">
        <v>3</v>
      </c>
      <c r="G672" s="6" t="s">
        <v>246</v>
      </c>
      <c r="H672" s="6">
        <v>37.72</v>
      </c>
      <c r="I672" s="6" t="s">
        <v>7</v>
      </c>
    </row>
    <row r="673" spans="1:9" x14ac:dyDescent="0.35">
      <c r="A673" s="34">
        <v>45444</v>
      </c>
      <c r="B673" s="34" t="str">
        <f t="shared" si="21"/>
        <v>June</v>
      </c>
      <c r="C673" s="4" t="str">
        <f t="shared" si="20"/>
        <v>Saturday</v>
      </c>
      <c r="D673" s="5">
        <v>45444.484830682872</v>
      </c>
      <c r="E673" s="6" t="str" cm="1">
        <f t="array" ref="E673">_xlfn.IFS(HOUR(D673)&gt;=20,"20-24 ",HOUR(D673)&gt;=16,"16-20",HOUR(D673)&gt;=12,"12-16",HOUR(D673)&lt;12,"7-12")</f>
        <v>7-12</v>
      </c>
      <c r="F673" s="6" t="s">
        <v>3</v>
      </c>
      <c r="G673" s="6" t="s">
        <v>264</v>
      </c>
      <c r="H673" s="6">
        <v>37.72</v>
      </c>
      <c r="I673" s="6" t="s">
        <v>7</v>
      </c>
    </row>
    <row r="674" spans="1:9" x14ac:dyDescent="0.35">
      <c r="A674" s="34">
        <v>45444</v>
      </c>
      <c r="B674" s="34" t="str">
        <f t="shared" si="21"/>
        <v>June</v>
      </c>
      <c r="C674" s="4" t="str">
        <f t="shared" si="20"/>
        <v>Saturday</v>
      </c>
      <c r="D674" s="5">
        <v>45444.603399756947</v>
      </c>
      <c r="E674" s="6" t="str" cm="1">
        <f t="array" ref="E674">_xlfn.IFS(HOUR(D674)&gt;=20,"20-24 ",HOUR(D674)&gt;=16,"16-20",HOUR(D674)&gt;=12,"12-16",HOUR(D674)&lt;12,"7-12")</f>
        <v>12-16</v>
      </c>
      <c r="F674" s="6" t="s">
        <v>3</v>
      </c>
      <c r="G674" s="6" t="s">
        <v>111</v>
      </c>
      <c r="H674" s="6">
        <v>32.82</v>
      </c>
      <c r="I674" s="6" t="s">
        <v>14</v>
      </c>
    </row>
    <row r="675" spans="1:9" x14ac:dyDescent="0.35">
      <c r="A675" s="34">
        <v>45444</v>
      </c>
      <c r="B675" s="34" t="str">
        <f t="shared" si="21"/>
        <v>June</v>
      </c>
      <c r="C675" s="4" t="str">
        <f t="shared" si="20"/>
        <v>Saturday</v>
      </c>
      <c r="D675" s="5">
        <v>45444.764036805558</v>
      </c>
      <c r="E675" s="6" t="str" cm="1">
        <f t="array" ref="E675">_xlfn.IFS(HOUR(D675)&gt;=20,"20-24 ",HOUR(D675)&gt;=16,"16-20",HOUR(D675)&gt;=12,"12-16",HOUR(D675)&lt;12,"7-12")</f>
        <v>16-20</v>
      </c>
      <c r="F675" s="6" t="s">
        <v>3</v>
      </c>
      <c r="G675" s="6" t="s">
        <v>265</v>
      </c>
      <c r="H675" s="6">
        <v>32.82</v>
      </c>
      <c r="I675" s="6" t="s">
        <v>14</v>
      </c>
    </row>
    <row r="676" spans="1:9" x14ac:dyDescent="0.35">
      <c r="A676" s="34">
        <v>45444</v>
      </c>
      <c r="B676" s="34" t="str">
        <f t="shared" si="21"/>
        <v>June</v>
      </c>
      <c r="C676" s="4" t="str">
        <f t="shared" si="20"/>
        <v>Saturday</v>
      </c>
      <c r="D676" s="5">
        <v>45444.764761145831</v>
      </c>
      <c r="E676" s="6" t="str" cm="1">
        <f t="array" ref="E676">_xlfn.IFS(HOUR(D676)&gt;=20,"20-24 ",HOUR(D676)&gt;=16,"16-20",HOUR(D676)&gt;=12,"12-16",HOUR(D676)&lt;12,"7-12")</f>
        <v>16-20</v>
      </c>
      <c r="F676" s="6" t="s">
        <v>3</v>
      </c>
      <c r="G676" s="6" t="s">
        <v>265</v>
      </c>
      <c r="H676" s="6">
        <v>32.82</v>
      </c>
      <c r="I676" s="6" t="s">
        <v>14</v>
      </c>
    </row>
    <row r="677" spans="1:9" x14ac:dyDescent="0.35">
      <c r="A677" s="34">
        <v>45444</v>
      </c>
      <c r="B677" s="34" t="str">
        <f t="shared" si="21"/>
        <v>June</v>
      </c>
      <c r="C677" s="4" t="str">
        <f t="shared" si="20"/>
        <v>Saturday</v>
      </c>
      <c r="D677" s="5">
        <v>45444.868176944445</v>
      </c>
      <c r="E677" s="6" t="str" cm="1">
        <f t="array" ref="E677">_xlfn.IFS(HOUR(D677)&gt;=20,"20-24 ",HOUR(D677)&gt;=16,"16-20",HOUR(D677)&gt;=12,"12-16",HOUR(D677)&lt;12,"7-12")</f>
        <v xml:space="preserve">20-24 </v>
      </c>
      <c r="F677" s="6" t="s">
        <v>3</v>
      </c>
      <c r="G677" s="6" t="s">
        <v>168</v>
      </c>
      <c r="H677" s="6">
        <v>37.72</v>
      </c>
      <c r="I677" s="6" t="s">
        <v>43</v>
      </c>
    </row>
    <row r="678" spans="1:9" x14ac:dyDescent="0.35">
      <c r="A678" s="34">
        <v>45444</v>
      </c>
      <c r="B678" s="34" t="str">
        <f t="shared" si="21"/>
        <v>June</v>
      </c>
      <c r="C678" s="4" t="str">
        <f t="shared" si="20"/>
        <v>Saturday</v>
      </c>
      <c r="D678" s="5">
        <v>45444.868907002317</v>
      </c>
      <c r="E678" s="6" t="str" cm="1">
        <f t="array" ref="E678">_xlfn.IFS(HOUR(D678)&gt;=20,"20-24 ",HOUR(D678)&gt;=16,"16-20",HOUR(D678)&gt;=12,"12-16",HOUR(D678)&lt;12,"7-12")</f>
        <v xml:space="preserve">20-24 </v>
      </c>
      <c r="F678" s="6" t="s">
        <v>3</v>
      </c>
      <c r="G678" s="6" t="s">
        <v>168</v>
      </c>
      <c r="H678" s="6">
        <v>37.72</v>
      </c>
      <c r="I678" s="6" t="s">
        <v>43</v>
      </c>
    </row>
    <row r="679" spans="1:9" x14ac:dyDescent="0.35">
      <c r="A679" s="34">
        <v>45444</v>
      </c>
      <c r="B679" s="34" t="str">
        <f t="shared" si="21"/>
        <v>June</v>
      </c>
      <c r="C679" s="4" t="str">
        <f t="shared" si="20"/>
        <v>Saturday</v>
      </c>
      <c r="D679" s="5">
        <v>45444.871519293978</v>
      </c>
      <c r="E679" s="6" t="str" cm="1">
        <f t="array" ref="E679">_xlfn.IFS(HOUR(D679)&gt;=20,"20-24 ",HOUR(D679)&gt;=16,"16-20",HOUR(D679)&gt;=12,"12-16",HOUR(D679)&lt;12,"7-12")</f>
        <v xml:space="preserve">20-24 </v>
      </c>
      <c r="F679" s="6" t="s">
        <v>21</v>
      </c>
      <c r="G679" s="6" t="s">
        <v>463</v>
      </c>
      <c r="H679" s="6">
        <v>39</v>
      </c>
      <c r="I679" s="6" t="s">
        <v>18</v>
      </c>
    </row>
    <row r="680" spans="1:9" x14ac:dyDescent="0.35">
      <c r="A680" s="34">
        <v>45444</v>
      </c>
      <c r="B680" s="34" t="str">
        <f t="shared" si="21"/>
        <v>June</v>
      </c>
      <c r="C680" s="4" t="str">
        <f t="shared" si="20"/>
        <v>Saturday</v>
      </c>
      <c r="D680" s="5">
        <v>45444.874417696759</v>
      </c>
      <c r="E680" s="6" t="str" cm="1">
        <f t="array" ref="E680">_xlfn.IFS(HOUR(D680)&gt;=20,"20-24 ",HOUR(D680)&gt;=16,"16-20",HOUR(D680)&gt;=12,"12-16",HOUR(D680)&lt;12,"7-12")</f>
        <v xml:space="preserve">20-24 </v>
      </c>
      <c r="F680" s="6" t="s">
        <v>3</v>
      </c>
      <c r="G680" s="6" t="s">
        <v>266</v>
      </c>
      <c r="H680" s="6">
        <v>37.72</v>
      </c>
      <c r="I680" s="6" t="s">
        <v>18</v>
      </c>
    </row>
    <row r="681" spans="1:9" x14ac:dyDescent="0.35">
      <c r="A681" s="34">
        <v>45444</v>
      </c>
      <c r="B681" s="34" t="str">
        <f t="shared" si="21"/>
        <v>June</v>
      </c>
      <c r="C681" s="4" t="str">
        <f t="shared" si="20"/>
        <v>Saturday</v>
      </c>
      <c r="D681" s="5">
        <v>45444.910474201388</v>
      </c>
      <c r="E681" s="6" t="str" cm="1">
        <f t="array" ref="E681">_xlfn.IFS(HOUR(D681)&gt;=20,"20-24 ",HOUR(D681)&gt;=16,"16-20",HOUR(D681)&gt;=12,"12-16",HOUR(D681)&lt;12,"7-12")</f>
        <v xml:space="preserve">20-24 </v>
      </c>
      <c r="F681" s="6" t="s">
        <v>3</v>
      </c>
      <c r="G681" s="6" t="s">
        <v>19</v>
      </c>
      <c r="H681" s="6">
        <v>32.82</v>
      </c>
      <c r="I681" s="6" t="s">
        <v>14</v>
      </c>
    </row>
    <row r="682" spans="1:9" x14ac:dyDescent="0.35">
      <c r="A682" s="34">
        <v>45445</v>
      </c>
      <c r="B682" s="34" t="str">
        <f t="shared" si="21"/>
        <v>June</v>
      </c>
      <c r="C682" s="4" t="str">
        <f t="shared" si="20"/>
        <v>Sunday</v>
      </c>
      <c r="D682" s="5">
        <v>45445.835715266207</v>
      </c>
      <c r="E682" s="6" t="str" cm="1">
        <f t="array" ref="E682">_xlfn.IFS(HOUR(D682)&gt;=20,"20-24 ",HOUR(D682)&gt;=16,"16-20",HOUR(D682)&gt;=12,"12-16",HOUR(D682)&lt;12,"7-12")</f>
        <v xml:space="preserve">20-24 </v>
      </c>
      <c r="F682" s="6" t="s">
        <v>3</v>
      </c>
      <c r="G682" s="6" t="s">
        <v>19</v>
      </c>
      <c r="H682" s="6">
        <v>37.72</v>
      </c>
      <c r="I682" s="6" t="s">
        <v>7</v>
      </c>
    </row>
    <row r="683" spans="1:9" x14ac:dyDescent="0.35">
      <c r="A683" s="34">
        <v>45445</v>
      </c>
      <c r="B683" s="34" t="str">
        <f t="shared" si="21"/>
        <v>June</v>
      </c>
      <c r="C683" s="4" t="str">
        <f t="shared" si="20"/>
        <v>Sunday</v>
      </c>
      <c r="D683" s="5">
        <v>45445.85002834491</v>
      </c>
      <c r="E683" s="6" t="str" cm="1">
        <f t="array" ref="E683">_xlfn.IFS(HOUR(D683)&gt;=20,"20-24 ",HOUR(D683)&gt;=16,"16-20",HOUR(D683)&gt;=12,"12-16",HOUR(D683)&lt;12,"7-12")</f>
        <v xml:space="preserve">20-24 </v>
      </c>
      <c r="F683" s="6" t="s">
        <v>3</v>
      </c>
      <c r="G683" s="6" t="s">
        <v>54</v>
      </c>
      <c r="H683" s="6">
        <v>32.82</v>
      </c>
      <c r="I683" s="6" t="s">
        <v>14</v>
      </c>
    </row>
    <row r="684" spans="1:9" x14ac:dyDescent="0.35">
      <c r="A684" s="34">
        <v>45445</v>
      </c>
      <c r="B684" s="34" t="str">
        <f t="shared" si="21"/>
        <v>June</v>
      </c>
      <c r="C684" s="4" t="str">
        <f t="shared" si="20"/>
        <v>Sunday</v>
      </c>
      <c r="D684" s="5">
        <v>45445.850778217595</v>
      </c>
      <c r="E684" s="6" t="str" cm="1">
        <f t="array" ref="E684">_xlfn.IFS(HOUR(D684)&gt;=20,"20-24 ",HOUR(D684)&gt;=16,"16-20",HOUR(D684)&gt;=12,"12-16",HOUR(D684)&lt;12,"7-12")</f>
        <v xml:space="preserve">20-24 </v>
      </c>
      <c r="F684" s="6" t="s">
        <v>3</v>
      </c>
      <c r="G684" s="6" t="s">
        <v>54</v>
      </c>
      <c r="H684" s="6">
        <v>37.72</v>
      </c>
      <c r="I684" s="6" t="s">
        <v>43</v>
      </c>
    </row>
    <row r="685" spans="1:9" x14ac:dyDescent="0.35">
      <c r="A685" s="34">
        <v>45445</v>
      </c>
      <c r="B685" s="34" t="str">
        <f t="shared" si="21"/>
        <v>June</v>
      </c>
      <c r="C685" s="4" t="str">
        <f t="shared" si="20"/>
        <v>Sunday</v>
      </c>
      <c r="D685" s="5">
        <v>45445.880098738424</v>
      </c>
      <c r="E685" s="6" t="str" cm="1">
        <f t="array" ref="E685">_xlfn.IFS(HOUR(D685)&gt;=20,"20-24 ",HOUR(D685)&gt;=16,"16-20",HOUR(D685)&gt;=12,"12-16",HOUR(D685)&lt;12,"7-12")</f>
        <v xml:space="preserve">20-24 </v>
      </c>
      <c r="F685" s="6" t="s">
        <v>3</v>
      </c>
      <c r="G685" s="6" t="s">
        <v>111</v>
      </c>
      <c r="H685" s="6">
        <v>32.82</v>
      </c>
      <c r="I685" s="6" t="s">
        <v>14</v>
      </c>
    </row>
    <row r="686" spans="1:9" x14ac:dyDescent="0.35">
      <c r="A686" s="34">
        <v>45445</v>
      </c>
      <c r="B686" s="34" t="str">
        <f t="shared" si="21"/>
        <v>June</v>
      </c>
      <c r="C686" s="4" t="str">
        <f t="shared" si="20"/>
        <v>Sunday</v>
      </c>
      <c r="D686" s="5">
        <v>45445.895977199078</v>
      </c>
      <c r="E686" s="6" t="str" cm="1">
        <f t="array" ref="E686">_xlfn.IFS(HOUR(D686)&gt;=20,"20-24 ",HOUR(D686)&gt;=16,"16-20",HOUR(D686)&gt;=12,"12-16",HOUR(D686)&lt;12,"7-12")</f>
        <v xml:space="preserve">20-24 </v>
      </c>
      <c r="F686" s="6" t="s">
        <v>3</v>
      </c>
      <c r="G686" s="6" t="s">
        <v>267</v>
      </c>
      <c r="H686" s="6">
        <v>37.72</v>
      </c>
      <c r="I686" s="6" t="s">
        <v>7</v>
      </c>
    </row>
    <row r="687" spans="1:9" x14ac:dyDescent="0.35">
      <c r="A687" s="34">
        <v>45445</v>
      </c>
      <c r="B687" s="34" t="str">
        <f t="shared" si="21"/>
        <v>June</v>
      </c>
      <c r="C687" s="4" t="str">
        <f t="shared" si="20"/>
        <v>Sunday</v>
      </c>
      <c r="D687" s="5">
        <v>45445.946650879632</v>
      </c>
      <c r="E687" s="6" t="str" cm="1">
        <f t="array" ref="E687">_xlfn.IFS(HOUR(D687)&gt;=20,"20-24 ",HOUR(D687)&gt;=16,"16-20",HOUR(D687)&gt;=12,"12-16",HOUR(D687)&lt;12,"7-12")</f>
        <v xml:space="preserve">20-24 </v>
      </c>
      <c r="F687" s="6" t="s">
        <v>21</v>
      </c>
      <c r="G687" s="6" t="s">
        <v>463</v>
      </c>
      <c r="H687" s="6">
        <v>34</v>
      </c>
      <c r="I687" s="6" t="s">
        <v>14</v>
      </c>
    </row>
    <row r="688" spans="1:9" x14ac:dyDescent="0.35">
      <c r="A688" s="34">
        <v>45446</v>
      </c>
      <c r="B688" s="34" t="str">
        <f t="shared" si="21"/>
        <v>June</v>
      </c>
      <c r="C688" s="4" t="str">
        <f t="shared" si="20"/>
        <v>Monday</v>
      </c>
      <c r="D688" s="5">
        <v>45446.425047928242</v>
      </c>
      <c r="E688" s="6" t="str" cm="1">
        <f t="array" ref="E688">_xlfn.IFS(HOUR(D688)&gt;=20,"20-24 ",HOUR(D688)&gt;=16,"16-20",HOUR(D688)&gt;=12,"12-16",HOUR(D688)&lt;12,"7-12")</f>
        <v>7-12</v>
      </c>
      <c r="F688" s="6" t="s">
        <v>3</v>
      </c>
      <c r="G688" s="6" t="s">
        <v>6</v>
      </c>
      <c r="H688" s="6">
        <v>37.72</v>
      </c>
      <c r="I688" s="6" t="s">
        <v>7</v>
      </c>
    </row>
    <row r="689" spans="1:9" x14ac:dyDescent="0.35">
      <c r="A689" s="34">
        <v>45446</v>
      </c>
      <c r="B689" s="34" t="str">
        <f t="shared" si="21"/>
        <v>June</v>
      </c>
      <c r="C689" s="4" t="str">
        <f t="shared" si="20"/>
        <v>Monday</v>
      </c>
      <c r="D689" s="5">
        <v>45446.43599302083</v>
      </c>
      <c r="E689" s="6" t="str" cm="1">
        <f t="array" ref="E689">_xlfn.IFS(HOUR(D689)&gt;=20,"20-24 ",HOUR(D689)&gt;=16,"16-20",HOUR(D689)&gt;=12,"12-16",HOUR(D689)&lt;12,"7-12")</f>
        <v>7-12</v>
      </c>
      <c r="F689" s="6" t="s">
        <v>3</v>
      </c>
      <c r="G689" s="6" t="s">
        <v>205</v>
      </c>
      <c r="H689" s="6">
        <v>37.72</v>
      </c>
      <c r="I689" s="6" t="s">
        <v>7</v>
      </c>
    </row>
    <row r="690" spans="1:9" x14ac:dyDescent="0.35">
      <c r="A690" s="34">
        <v>45446</v>
      </c>
      <c r="B690" s="34" t="str">
        <f t="shared" si="21"/>
        <v>June</v>
      </c>
      <c r="C690" s="4" t="str">
        <f t="shared" si="20"/>
        <v>Monday</v>
      </c>
      <c r="D690" s="5">
        <v>45446.605351134262</v>
      </c>
      <c r="E690" s="6" t="str" cm="1">
        <f t="array" ref="E690">_xlfn.IFS(HOUR(D690)&gt;=20,"20-24 ",HOUR(D690)&gt;=16,"16-20",HOUR(D690)&gt;=12,"12-16",HOUR(D690)&lt;12,"7-12")</f>
        <v>12-16</v>
      </c>
      <c r="F690" s="6" t="s">
        <v>3</v>
      </c>
      <c r="G690" s="6" t="s">
        <v>38</v>
      </c>
      <c r="H690" s="6">
        <v>37.72</v>
      </c>
      <c r="I690" s="6" t="s">
        <v>43</v>
      </c>
    </row>
    <row r="691" spans="1:9" x14ac:dyDescent="0.35">
      <c r="A691" s="34">
        <v>45446</v>
      </c>
      <c r="B691" s="34" t="str">
        <f t="shared" si="21"/>
        <v>June</v>
      </c>
      <c r="C691" s="4" t="str">
        <f t="shared" si="20"/>
        <v>Monday</v>
      </c>
      <c r="D691" s="5">
        <v>45446.606261018518</v>
      </c>
      <c r="E691" s="6" t="str" cm="1">
        <f t="array" ref="E691">_xlfn.IFS(HOUR(D691)&gt;=20,"20-24 ",HOUR(D691)&gt;=16,"16-20",HOUR(D691)&gt;=12,"12-16",HOUR(D691)&lt;12,"7-12")</f>
        <v>12-16</v>
      </c>
      <c r="F691" s="6" t="s">
        <v>3</v>
      </c>
      <c r="G691" s="6" t="s">
        <v>37</v>
      </c>
      <c r="H691" s="6">
        <v>32.82</v>
      </c>
      <c r="I691" s="6" t="s">
        <v>14</v>
      </c>
    </row>
    <row r="692" spans="1:9" x14ac:dyDescent="0.35">
      <c r="A692" s="34">
        <v>45446</v>
      </c>
      <c r="B692" s="34" t="str">
        <f t="shared" si="21"/>
        <v>June</v>
      </c>
      <c r="C692" s="4" t="str">
        <f t="shared" si="20"/>
        <v>Monday</v>
      </c>
      <c r="D692" s="5">
        <v>45446.607024560188</v>
      </c>
      <c r="E692" s="6" t="str" cm="1">
        <f t="array" ref="E692">_xlfn.IFS(HOUR(D692)&gt;=20,"20-24 ",HOUR(D692)&gt;=16,"16-20",HOUR(D692)&gt;=12,"12-16",HOUR(D692)&lt;12,"7-12")</f>
        <v>12-16</v>
      </c>
      <c r="F692" s="6" t="s">
        <v>3</v>
      </c>
      <c r="G692" s="6" t="s">
        <v>19</v>
      </c>
      <c r="H692" s="6">
        <v>37.72</v>
      </c>
      <c r="I692" s="6" t="s">
        <v>7</v>
      </c>
    </row>
    <row r="693" spans="1:9" x14ac:dyDescent="0.35">
      <c r="A693" s="34">
        <v>45446</v>
      </c>
      <c r="B693" s="34" t="str">
        <f t="shared" si="21"/>
        <v>June</v>
      </c>
      <c r="C693" s="4" t="str">
        <f t="shared" si="20"/>
        <v>Monday</v>
      </c>
      <c r="D693" s="5">
        <v>45446.904765439816</v>
      </c>
      <c r="E693" s="6" t="str" cm="1">
        <f t="array" ref="E693">_xlfn.IFS(HOUR(D693)&gt;=20,"20-24 ",HOUR(D693)&gt;=16,"16-20",HOUR(D693)&gt;=12,"12-16",HOUR(D693)&lt;12,"7-12")</f>
        <v xml:space="preserve">20-24 </v>
      </c>
      <c r="F693" s="6" t="s">
        <v>21</v>
      </c>
      <c r="G693" s="6" t="s">
        <v>463</v>
      </c>
      <c r="H693" s="6">
        <v>34</v>
      </c>
      <c r="I693" s="6" t="s">
        <v>14</v>
      </c>
    </row>
    <row r="694" spans="1:9" x14ac:dyDescent="0.35">
      <c r="A694" s="34">
        <v>45446</v>
      </c>
      <c r="B694" s="34" t="str">
        <f t="shared" si="21"/>
        <v>June</v>
      </c>
      <c r="C694" s="4" t="str">
        <f t="shared" si="20"/>
        <v>Monday</v>
      </c>
      <c r="D694" s="5">
        <v>45446.90529480324</v>
      </c>
      <c r="E694" s="6" t="str" cm="1">
        <f t="array" ref="E694">_xlfn.IFS(HOUR(D694)&gt;=20,"20-24 ",HOUR(D694)&gt;=16,"16-20",HOUR(D694)&gt;=12,"12-16",HOUR(D694)&lt;12,"7-12")</f>
        <v xml:space="preserve">20-24 </v>
      </c>
      <c r="F694" s="6" t="s">
        <v>21</v>
      </c>
      <c r="G694" s="6" t="s">
        <v>463</v>
      </c>
      <c r="H694" s="6">
        <v>34</v>
      </c>
      <c r="I694" s="6" t="s">
        <v>14</v>
      </c>
    </row>
    <row r="695" spans="1:9" x14ac:dyDescent="0.35">
      <c r="A695" s="34">
        <v>45447</v>
      </c>
      <c r="B695" s="34" t="str">
        <f t="shared" si="21"/>
        <v>June</v>
      </c>
      <c r="C695" s="4" t="str">
        <f t="shared" si="20"/>
        <v>Tuesday</v>
      </c>
      <c r="D695" s="5">
        <v>45447.391468726855</v>
      </c>
      <c r="E695" s="6" t="str" cm="1">
        <f t="array" ref="E695">_xlfn.IFS(HOUR(D695)&gt;=20,"20-24 ",HOUR(D695)&gt;=16,"16-20",HOUR(D695)&gt;=12,"12-16",HOUR(D695)&lt;12,"7-12")</f>
        <v>7-12</v>
      </c>
      <c r="F695" s="6" t="s">
        <v>3</v>
      </c>
      <c r="G695" s="6" t="s">
        <v>155</v>
      </c>
      <c r="H695" s="6">
        <v>27.92</v>
      </c>
      <c r="I695" s="6" t="s">
        <v>28</v>
      </c>
    </row>
    <row r="696" spans="1:9" x14ac:dyDescent="0.35">
      <c r="A696" s="34">
        <v>45447</v>
      </c>
      <c r="B696" s="34" t="str">
        <f t="shared" si="21"/>
        <v>June</v>
      </c>
      <c r="C696" s="4" t="str">
        <f t="shared" si="20"/>
        <v>Tuesday</v>
      </c>
      <c r="D696" s="5">
        <v>45447.435578414355</v>
      </c>
      <c r="E696" s="6" t="str" cm="1">
        <f t="array" ref="E696">_xlfn.IFS(HOUR(D696)&gt;=20,"20-24 ",HOUR(D696)&gt;=16,"16-20",HOUR(D696)&gt;=12,"12-16",HOUR(D696)&lt;12,"7-12")</f>
        <v>7-12</v>
      </c>
      <c r="F696" s="6" t="s">
        <v>3</v>
      </c>
      <c r="G696" s="6" t="s">
        <v>111</v>
      </c>
      <c r="H696" s="6">
        <v>32.82</v>
      </c>
      <c r="I696" s="6" t="s">
        <v>14</v>
      </c>
    </row>
    <row r="697" spans="1:9" x14ac:dyDescent="0.35">
      <c r="A697" s="34">
        <v>45447</v>
      </c>
      <c r="B697" s="34" t="str">
        <f t="shared" si="21"/>
        <v>June</v>
      </c>
      <c r="C697" s="4" t="str">
        <f t="shared" si="20"/>
        <v>Tuesday</v>
      </c>
      <c r="D697" s="5">
        <v>45447.501507094908</v>
      </c>
      <c r="E697" s="6" t="str" cm="1">
        <f t="array" ref="E697">_xlfn.IFS(HOUR(D697)&gt;=20,"20-24 ",HOUR(D697)&gt;=16,"16-20",HOUR(D697)&gt;=12,"12-16",HOUR(D697)&lt;12,"7-12")</f>
        <v>12-16</v>
      </c>
      <c r="F697" s="6" t="s">
        <v>3</v>
      </c>
      <c r="G697" s="6" t="s">
        <v>268</v>
      </c>
      <c r="H697" s="6">
        <v>37.72</v>
      </c>
      <c r="I697" s="6" t="s">
        <v>7</v>
      </c>
    </row>
    <row r="698" spans="1:9" x14ac:dyDescent="0.35">
      <c r="A698" s="34">
        <v>45447</v>
      </c>
      <c r="B698" s="34" t="str">
        <f t="shared" si="21"/>
        <v>June</v>
      </c>
      <c r="C698" s="4" t="str">
        <f t="shared" si="20"/>
        <v>Tuesday</v>
      </c>
      <c r="D698" s="5">
        <v>45447.503810023147</v>
      </c>
      <c r="E698" s="6" t="str" cm="1">
        <f t="array" ref="E698">_xlfn.IFS(HOUR(D698)&gt;=20,"20-24 ",HOUR(D698)&gt;=16,"16-20",HOUR(D698)&gt;=12,"12-16",HOUR(D698)&lt;12,"7-12")</f>
        <v>12-16</v>
      </c>
      <c r="F698" s="6" t="s">
        <v>3</v>
      </c>
      <c r="G698" s="6" t="s">
        <v>268</v>
      </c>
      <c r="H698" s="6">
        <v>37.72</v>
      </c>
      <c r="I698" s="6" t="s">
        <v>9</v>
      </c>
    </row>
    <row r="699" spans="1:9" x14ac:dyDescent="0.35">
      <c r="A699" s="34">
        <v>45447</v>
      </c>
      <c r="B699" s="34" t="str">
        <f t="shared" si="21"/>
        <v>June</v>
      </c>
      <c r="C699" s="4" t="str">
        <f t="shared" si="20"/>
        <v>Tuesday</v>
      </c>
      <c r="D699" s="5">
        <v>45447.646208969905</v>
      </c>
      <c r="E699" s="6" t="str" cm="1">
        <f t="array" ref="E699">_xlfn.IFS(HOUR(D699)&gt;=20,"20-24 ",HOUR(D699)&gt;=16,"16-20",HOUR(D699)&gt;=12,"12-16",HOUR(D699)&lt;12,"7-12")</f>
        <v>12-16</v>
      </c>
      <c r="F699" s="6" t="s">
        <v>3</v>
      </c>
      <c r="G699" s="6" t="s">
        <v>269</v>
      </c>
      <c r="H699" s="6">
        <v>37.72</v>
      </c>
      <c r="I699" s="6" t="s">
        <v>7</v>
      </c>
    </row>
    <row r="700" spans="1:9" x14ac:dyDescent="0.35">
      <c r="A700" s="34">
        <v>45447</v>
      </c>
      <c r="B700" s="34" t="str">
        <f t="shared" si="21"/>
        <v>June</v>
      </c>
      <c r="C700" s="4" t="str">
        <f t="shared" si="20"/>
        <v>Tuesday</v>
      </c>
      <c r="D700" s="5">
        <v>45447.74070209491</v>
      </c>
      <c r="E700" s="6" t="str" cm="1">
        <f t="array" ref="E700">_xlfn.IFS(HOUR(D700)&gt;=20,"20-24 ",HOUR(D700)&gt;=16,"16-20",HOUR(D700)&gt;=12,"12-16",HOUR(D700)&lt;12,"7-12")</f>
        <v>16-20</v>
      </c>
      <c r="F700" s="6" t="s">
        <v>3</v>
      </c>
      <c r="G700" s="6" t="s">
        <v>206</v>
      </c>
      <c r="H700" s="6">
        <v>27.92</v>
      </c>
      <c r="I700" s="6" t="s">
        <v>28</v>
      </c>
    </row>
    <row r="701" spans="1:9" x14ac:dyDescent="0.35">
      <c r="A701" s="34">
        <v>45447</v>
      </c>
      <c r="B701" s="34" t="str">
        <f t="shared" si="21"/>
        <v>June</v>
      </c>
      <c r="C701" s="4" t="str">
        <f t="shared" si="20"/>
        <v>Tuesday</v>
      </c>
      <c r="D701" s="5">
        <v>45447.741306099539</v>
      </c>
      <c r="E701" s="6" t="str" cm="1">
        <f t="array" ref="E701">_xlfn.IFS(HOUR(D701)&gt;=20,"20-24 ",HOUR(D701)&gt;=16,"16-20",HOUR(D701)&gt;=12,"12-16",HOUR(D701)&lt;12,"7-12")</f>
        <v>16-20</v>
      </c>
      <c r="F701" s="6" t="s">
        <v>3</v>
      </c>
      <c r="G701" s="6" t="s">
        <v>206</v>
      </c>
      <c r="H701" s="6">
        <v>37.72</v>
      </c>
      <c r="I701" s="6" t="s">
        <v>43</v>
      </c>
    </row>
    <row r="702" spans="1:9" x14ac:dyDescent="0.35">
      <c r="A702" s="34">
        <v>45447</v>
      </c>
      <c r="B702" s="34" t="str">
        <f t="shared" si="21"/>
        <v>June</v>
      </c>
      <c r="C702" s="4" t="str">
        <f t="shared" si="20"/>
        <v>Tuesday</v>
      </c>
      <c r="D702" s="5">
        <v>45447.842375046297</v>
      </c>
      <c r="E702" s="6" t="str" cm="1">
        <f t="array" ref="E702">_xlfn.IFS(HOUR(D702)&gt;=20,"20-24 ",HOUR(D702)&gt;=16,"16-20",HOUR(D702)&gt;=12,"12-16",HOUR(D702)&lt;12,"7-12")</f>
        <v xml:space="preserve">20-24 </v>
      </c>
      <c r="F702" s="6" t="s">
        <v>3</v>
      </c>
      <c r="G702" s="6" t="s">
        <v>270</v>
      </c>
      <c r="H702" s="6">
        <v>37.72</v>
      </c>
      <c r="I702" s="6" t="s">
        <v>9</v>
      </c>
    </row>
    <row r="703" spans="1:9" x14ac:dyDescent="0.35">
      <c r="A703" s="34">
        <v>45447</v>
      </c>
      <c r="B703" s="34" t="str">
        <f t="shared" si="21"/>
        <v>June</v>
      </c>
      <c r="C703" s="4" t="str">
        <f t="shared" si="20"/>
        <v>Tuesday</v>
      </c>
      <c r="D703" s="5">
        <v>45447.868447870373</v>
      </c>
      <c r="E703" s="6" t="str" cm="1">
        <f t="array" ref="E703">_xlfn.IFS(HOUR(D703)&gt;=20,"20-24 ",HOUR(D703)&gt;=16,"16-20",HOUR(D703)&gt;=12,"12-16",HOUR(D703)&lt;12,"7-12")</f>
        <v xml:space="preserve">20-24 </v>
      </c>
      <c r="F703" s="6" t="s">
        <v>3</v>
      </c>
      <c r="G703" s="6" t="s">
        <v>271</v>
      </c>
      <c r="H703" s="6">
        <v>37.72</v>
      </c>
      <c r="I703" s="6" t="s">
        <v>43</v>
      </c>
    </row>
    <row r="704" spans="1:9" x14ac:dyDescent="0.35">
      <c r="A704" s="34">
        <v>45447</v>
      </c>
      <c r="B704" s="34" t="str">
        <f t="shared" si="21"/>
        <v>June</v>
      </c>
      <c r="C704" s="4" t="str">
        <f t="shared" si="20"/>
        <v>Tuesday</v>
      </c>
      <c r="D704" s="5">
        <v>45447.897209583331</v>
      </c>
      <c r="E704" s="6" t="str" cm="1">
        <f t="array" ref="E704">_xlfn.IFS(HOUR(D704)&gt;=20,"20-24 ",HOUR(D704)&gt;=16,"16-20",HOUR(D704)&gt;=12,"12-16",HOUR(D704)&lt;12,"7-12")</f>
        <v xml:space="preserve">20-24 </v>
      </c>
      <c r="F704" s="6" t="s">
        <v>3</v>
      </c>
      <c r="G704" s="6" t="s">
        <v>272</v>
      </c>
      <c r="H704" s="6">
        <v>27.92</v>
      </c>
      <c r="I704" s="6" t="s">
        <v>28</v>
      </c>
    </row>
    <row r="705" spans="1:9" x14ac:dyDescent="0.35">
      <c r="A705" s="34">
        <v>45447</v>
      </c>
      <c r="B705" s="34" t="str">
        <f t="shared" si="21"/>
        <v>June</v>
      </c>
      <c r="C705" s="4" t="str">
        <f t="shared" si="20"/>
        <v>Tuesday</v>
      </c>
      <c r="D705" s="5">
        <v>45447.897947002311</v>
      </c>
      <c r="E705" s="6" t="str" cm="1">
        <f t="array" ref="E705">_xlfn.IFS(HOUR(D705)&gt;=20,"20-24 ",HOUR(D705)&gt;=16,"16-20",HOUR(D705)&gt;=12,"12-16",HOUR(D705)&lt;12,"7-12")</f>
        <v xml:space="preserve">20-24 </v>
      </c>
      <c r="F705" s="6" t="s">
        <v>3</v>
      </c>
      <c r="G705" s="6" t="s">
        <v>273</v>
      </c>
      <c r="H705" s="6">
        <v>32.82</v>
      </c>
      <c r="I705" s="6" t="s">
        <v>14</v>
      </c>
    </row>
    <row r="706" spans="1:9" x14ac:dyDescent="0.35">
      <c r="A706" s="34">
        <v>45447</v>
      </c>
      <c r="B706" s="34" t="str">
        <f t="shared" si="21"/>
        <v>June</v>
      </c>
      <c r="C706" s="4" t="str">
        <f t="shared" ref="C706:C769" si="22">TEXT(A706,"ddddddddd")</f>
        <v>Tuesday</v>
      </c>
      <c r="D706" s="5">
        <v>45447.899255405093</v>
      </c>
      <c r="E706" s="6" t="str" cm="1">
        <f t="array" ref="E706">_xlfn.IFS(HOUR(D706)&gt;=20,"20-24 ",HOUR(D706)&gt;=16,"16-20",HOUR(D706)&gt;=12,"12-16",HOUR(D706)&lt;12,"7-12")</f>
        <v xml:space="preserve">20-24 </v>
      </c>
      <c r="F706" s="6" t="s">
        <v>3</v>
      </c>
      <c r="G706" s="6" t="s">
        <v>274</v>
      </c>
      <c r="H706" s="6">
        <v>32.82</v>
      </c>
      <c r="I706" s="6" t="s">
        <v>14</v>
      </c>
    </row>
    <row r="707" spans="1:9" x14ac:dyDescent="0.35">
      <c r="A707" s="34">
        <v>45447</v>
      </c>
      <c r="B707" s="34" t="str">
        <f t="shared" ref="B707:B770" si="23">TEXT(A707, "mmmm")</f>
        <v>June</v>
      </c>
      <c r="C707" s="4" t="str">
        <f t="shared" si="22"/>
        <v>Tuesday</v>
      </c>
      <c r="D707" s="5">
        <v>45447.90008013889</v>
      </c>
      <c r="E707" s="6" t="str" cm="1">
        <f t="array" ref="E707">_xlfn.IFS(HOUR(D707)&gt;=20,"20-24 ",HOUR(D707)&gt;=16,"16-20",HOUR(D707)&gt;=12,"12-16",HOUR(D707)&lt;12,"7-12")</f>
        <v xml:space="preserve">20-24 </v>
      </c>
      <c r="F707" s="6" t="s">
        <v>3</v>
      </c>
      <c r="G707" s="6" t="s">
        <v>274</v>
      </c>
      <c r="H707" s="6">
        <v>32.82</v>
      </c>
      <c r="I707" s="6" t="s">
        <v>14</v>
      </c>
    </row>
    <row r="708" spans="1:9" x14ac:dyDescent="0.35">
      <c r="A708" s="34">
        <v>45447</v>
      </c>
      <c r="B708" s="34" t="str">
        <f t="shared" si="23"/>
        <v>June</v>
      </c>
      <c r="C708" s="4" t="str">
        <f t="shared" si="22"/>
        <v>Tuesday</v>
      </c>
      <c r="D708" s="5">
        <v>45447.900869953701</v>
      </c>
      <c r="E708" s="6" t="str" cm="1">
        <f t="array" ref="E708">_xlfn.IFS(HOUR(D708)&gt;=20,"20-24 ",HOUR(D708)&gt;=16,"16-20",HOUR(D708)&gt;=12,"12-16",HOUR(D708)&lt;12,"7-12")</f>
        <v xml:space="preserve">20-24 </v>
      </c>
      <c r="F708" s="6" t="s">
        <v>3</v>
      </c>
      <c r="G708" s="6" t="s">
        <v>274</v>
      </c>
      <c r="H708" s="6">
        <v>32.82</v>
      </c>
      <c r="I708" s="6" t="s">
        <v>14</v>
      </c>
    </row>
    <row r="709" spans="1:9" x14ac:dyDescent="0.35">
      <c r="A709" s="34">
        <v>45448</v>
      </c>
      <c r="B709" s="34" t="str">
        <f t="shared" si="23"/>
        <v>June</v>
      </c>
      <c r="C709" s="4" t="str">
        <f t="shared" si="22"/>
        <v>Wednesday</v>
      </c>
      <c r="D709" s="5">
        <v>45448.348483379632</v>
      </c>
      <c r="E709" s="6" t="str" cm="1">
        <f t="array" ref="E709">_xlfn.IFS(HOUR(D709)&gt;=20,"20-24 ",HOUR(D709)&gt;=16,"16-20",HOUR(D709)&gt;=12,"12-16",HOUR(D709)&lt;12,"7-12")</f>
        <v>7-12</v>
      </c>
      <c r="F709" s="6" t="s">
        <v>3</v>
      </c>
      <c r="G709" s="6" t="s">
        <v>275</v>
      </c>
      <c r="H709" s="6">
        <v>37.72</v>
      </c>
      <c r="I709" s="6" t="s">
        <v>43</v>
      </c>
    </row>
    <row r="710" spans="1:9" x14ac:dyDescent="0.35">
      <c r="A710" s="34">
        <v>45448</v>
      </c>
      <c r="B710" s="34" t="str">
        <f t="shared" si="23"/>
        <v>June</v>
      </c>
      <c r="C710" s="4" t="str">
        <f t="shared" si="22"/>
        <v>Wednesday</v>
      </c>
      <c r="D710" s="5">
        <v>45448.349383368055</v>
      </c>
      <c r="E710" s="6" t="str" cm="1">
        <f t="array" ref="E710">_xlfn.IFS(HOUR(D710)&gt;=20,"20-24 ",HOUR(D710)&gt;=16,"16-20",HOUR(D710)&gt;=12,"12-16",HOUR(D710)&lt;12,"7-12")</f>
        <v>7-12</v>
      </c>
      <c r="F710" s="6" t="s">
        <v>3</v>
      </c>
      <c r="G710" s="6" t="s">
        <v>275</v>
      </c>
      <c r="H710" s="6">
        <v>37.72</v>
      </c>
      <c r="I710" s="6" t="s">
        <v>43</v>
      </c>
    </row>
    <row r="711" spans="1:9" x14ac:dyDescent="0.35">
      <c r="A711" s="34">
        <v>45448</v>
      </c>
      <c r="B711" s="34" t="str">
        <f t="shared" si="23"/>
        <v>June</v>
      </c>
      <c r="C711" s="4" t="str">
        <f t="shared" si="22"/>
        <v>Wednesday</v>
      </c>
      <c r="D711" s="5">
        <v>45448.390776712964</v>
      </c>
      <c r="E711" s="6" t="str" cm="1">
        <f t="array" ref="E711">_xlfn.IFS(HOUR(D711)&gt;=20,"20-24 ",HOUR(D711)&gt;=16,"16-20",HOUR(D711)&gt;=12,"12-16",HOUR(D711)&lt;12,"7-12")</f>
        <v>7-12</v>
      </c>
      <c r="F711" s="6" t="s">
        <v>3</v>
      </c>
      <c r="G711" s="6" t="s">
        <v>276</v>
      </c>
      <c r="H711" s="6">
        <v>27.92</v>
      </c>
      <c r="I711" s="6" t="s">
        <v>11</v>
      </c>
    </row>
    <row r="712" spans="1:9" x14ac:dyDescent="0.35">
      <c r="A712" s="34">
        <v>45448</v>
      </c>
      <c r="B712" s="34" t="str">
        <f t="shared" si="23"/>
        <v>June</v>
      </c>
      <c r="C712" s="4" t="str">
        <f t="shared" si="22"/>
        <v>Wednesday</v>
      </c>
      <c r="D712" s="5">
        <v>45448.436696990742</v>
      </c>
      <c r="E712" s="6" t="str" cm="1">
        <f t="array" ref="E712">_xlfn.IFS(HOUR(D712)&gt;=20,"20-24 ",HOUR(D712)&gt;=16,"16-20",HOUR(D712)&gt;=12,"12-16",HOUR(D712)&lt;12,"7-12")</f>
        <v>7-12</v>
      </c>
      <c r="F712" s="6" t="s">
        <v>3</v>
      </c>
      <c r="G712" s="6" t="s">
        <v>6</v>
      </c>
      <c r="H712" s="6">
        <v>37.72</v>
      </c>
      <c r="I712" s="6" t="s">
        <v>7</v>
      </c>
    </row>
    <row r="713" spans="1:9" x14ac:dyDescent="0.35">
      <c r="A713" s="34">
        <v>45448</v>
      </c>
      <c r="B713" s="34" t="str">
        <f t="shared" si="23"/>
        <v>June</v>
      </c>
      <c r="C713" s="4" t="str">
        <f t="shared" si="22"/>
        <v>Wednesday</v>
      </c>
      <c r="D713" s="5">
        <v>45448.445060046295</v>
      </c>
      <c r="E713" s="6" t="str" cm="1">
        <f t="array" ref="E713">_xlfn.IFS(HOUR(D713)&gt;=20,"20-24 ",HOUR(D713)&gt;=16,"16-20",HOUR(D713)&gt;=12,"12-16",HOUR(D713)&lt;12,"7-12")</f>
        <v>7-12</v>
      </c>
      <c r="F713" s="6" t="s">
        <v>3</v>
      </c>
      <c r="G713" s="6" t="s">
        <v>111</v>
      </c>
      <c r="H713" s="6">
        <v>32.82</v>
      </c>
      <c r="I713" s="6" t="s">
        <v>14</v>
      </c>
    </row>
    <row r="714" spans="1:9" x14ac:dyDescent="0.35">
      <c r="A714" s="34">
        <v>45448</v>
      </c>
      <c r="B714" s="34" t="str">
        <f t="shared" si="23"/>
        <v>June</v>
      </c>
      <c r="C714" s="4" t="str">
        <f t="shared" si="22"/>
        <v>Wednesday</v>
      </c>
      <c r="D714" s="5">
        <v>45448.822195312503</v>
      </c>
      <c r="E714" s="6" t="str" cm="1">
        <f t="array" ref="E714">_xlfn.IFS(HOUR(D714)&gt;=20,"20-24 ",HOUR(D714)&gt;=16,"16-20",HOUR(D714)&gt;=12,"12-16",HOUR(D714)&lt;12,"7-12")</f>
        <v>16-20</v>
      </c>
      <c r="F714" s="6" t="s">
        <v>3</v>
      </c>
      <c r="G714" s="6" t="s">
        <v>277</v>
      </c>
      <c r="H714" s="6">
        <v>32.82</v>
      </c>
      <c r="I714" s="6" t="s">
        <v>14</v>
      </c>
    </row>
    <row r="715" spans="1:9" x14ac:dyDescent="0.35">
      <c r="A715" s="34">
        <v>45448</v>
      </c>
      <c r="B715" s="34" t="str">
        <f t="shared" si="23"/>
        <v>June</v>
      </c>
      <c r="C715" s="4" t="str">
        <f t="shared" si="22"/>
        <v>Wednesday</v>
      </c>
      <c r="D715" s="5">
        <v>45448.83325841435</v>
      </c>
      <c r="E715" s="6" t="str" cm="1">
        <f t="array" ref="E715">_xlfn.IFS(HOUR(D715)&gt;=20,"20-24 ",HOUR(D715)&gt;=16,"16-20",HOUR(D715)&gt;=12,"12-16",HOUR(D715)&lt;12,"7-12")</f>
        <v>16-20</v>
      </c>
      <c r="F715" s="6" t="s">
        <v>3</v>
      </c>
      <c r="G715" s="6" t="s">
        <v>278</v>
      </c>
      <c r="H715" s="6">
        <v>37.72</v>
      </c>
      <c r="I715" s="6" t="s">
        <v>7</v>
      </c>
    </row>
    <row r="716" spans="1:9" x14ac:dyDescent="0.35">
      <c r="A716" s="34">
        <v>45448</v>
      </c>
      <c r="B716" s="34" t="str">
        <f t="shared" si="23"/>
        <v>June</v>
      </c>
      <c r="C716" s="4" t="str">
        <f t="shared" si="22"/>
        <v>Wednesday</v>
      </c>
      <c r="D716" s="5">
        <v>45448.840828969907</v>
      </c>
      <c r="E716" s="6" t="str" cm="1">
        <f t="array" ref="E716">_xlfn.IFS(HOUR(D716)&gt;=20,"20-24 ",HOUR(D716)&gt;=16,"16-20",HOUR(D716)&gt;=12,"12-16",HOUR(D716)&lt;12,"7-12")</f>
        <v xml:space="preserve">20-24 </v>
      </c>
      <c r="F716" s="6" t="s">
        <v>3</v>
      </c>
      <c r="G716" s="6" t="s">
        <v>234</v>
      </c>
      <c r="H716" s="6">
        <v>37.72</v>
      </c>
      <c r="I716" s="6" t="s">
        <v>18</v>
      </c>
    </row>
    <row r="717" spans="1:9" x14ac:dyDescent="0.35">
      <c r="A717" s="34">
        <v>45448</v>
      </c>
      <c r="B717" s="34" t="str">
        <f t="shared" si="23"/>
        <v>June</v>
      </c>
      <c r="C717" s="4" t="str">
        <f t="shared" si="22"/>
        <v>Wednesday</v>
      </c>
      <c r="D717" s="5">
        <v>45448.841685856481</v>
      </c>
      <c r="E717" s="6" t="str" cm="1">
        <f t="array" ref="E717">_xlfn.IFS(HOUR(D717)&gt;=20,"20-24 ",HOUR(D717)&gt;=16,"16-20",HOUR(D717)&gt;=12,"12-16",HOUR(D717)&lt;12,"7-12")</f>
        <v xml:space="preserve">20-24 </v>
      </c>
      <c r="F717" s="6" t="s">
        <v>3</v>
      </c>
      <c r="G717" s="6" t="s">
        <v>234</v>
      </c>
      <c r="H717" s="6">
        <v>27.92</v>
      </c>
      <c r="I717" s="6" t="s">
        <v>28</v>
      </c>
    </row>
    <row r="718" spans="1:9" x14ac:dyDescent="0.35">
      <c r="A718" s="34">
        <v>45449</v>
      </c>
      <c r="B718" s="34" t="str">
        <f t="shared" si="23"/>
        <v>June</v>
      </c>
      <c r="C718" s="4" t="str">
        <f t="shared" si="22"/>
        <v>Thursday</v>
      </c>
      <c r="D718" s="5">
        <v>45449.37009665509</v>
      </c>
      <c r="E718" s="6" t="str" cm="1">
        <f t="array" ref="E718">_xlfn.IFS(HOUR(D718)&gt;=20,"20-24 ",HOUR(D718)&gt;=16,"16-20",HOUR(D718)&gt;=12,"12-16",HOUR(D718)&lt;12,"7-12")</f>
        <v>7-12</v>
      </c>
      <c r="F718" s="6" t="s">
        <v>3</v>
      </c>
      <c r="G718" s="6" t="s">
        <v>111</v>
      </c>
      <c r="H718" s="6">
        <v>32.82</v>
      </c>
      <c r="I718" s="6" t="s">
        <v>14</v>
      </c>
    </row>
    <row r="719" spans="1:9" x14ac:dyDescent="0.35">
      <c r="A719" s="34">
        <v>45449</v>
      </c>
      <c r="B719" s="34" t="str">
        <f t="shared" si="23"/>
        <v>June</v>
      </c>
      <c r="C719" s="4" t="str">
        <f t="shared" si="22"/>
        <v>Thursday</v>
      </c>
      <c r="D719" s="5">
        <v>45449.370931192127</v>
      </c>
      <c r="E719" s="6" t="str" cm="1">
        <f t="array" ref="E719">_xlfn.IFS(HOUR(D719)&gt;=20,"20-24 ",HOUR(D719)&gt;=16,"16-20",HOUR(D719)&gt;=12,"12-16",HOUR(D719)&lt;12,"7-12")</f>
        <v>7-12</v>
      </c>
      <c r="F719" s="6" t="s">
        <v>3</v>
      </c>
      <c r="G719" s="6" t="s">
        <v>111</v>
      </c>
      <c r="H719" s="6">
        <v>32.82</v>
      </c>
      <c r="I719" s="6" t="s">
        <v>14</v>
      </c>
    </row>
    <row r="720" spans="1:9" x14ac:dyDescent="0.35">
      <c r="A720" s="34">
        <v>45449</v>
      </c>
      <c r="B720" s="34" t="str">
        <f t="shared" si="23"/>
        <v>June</v>
      </c>
      <c r="C720" s="4" t="str">
        <f t="shared" si="22"/>
        <v>Thursday</v>
      </c>
      <c r="D720" s="5">
        <v>45449.441778553242</v>
      </c>
      <c r="E720" s="6" t="str" cm="1">
        <f t="array" ref="E720">_xlfn.IFS(HOUR(D720)&gt;=20,"20-24 ",HOUR(D720)&gt;=16,"16-20",HOUR(D720)&gt;=12,"12-16",HOUR(D720)&lt;12,"7-12")</f>
        <v>7-12</v>
      </c>
      <c r="F720" s="6" t="s">
        <v>3</v>
      </c>
      <c r="G720" s="6" t="s">
        <v>6</v>
      </c>
      <c r="H720" s="6">
        <v>37.72</v>
      </c>
      <c r="I720" s="6" t="s">
        <v>7</v>
      </c>
    </row>
    <row r="721" spans="1:9" x14ac:dyDescent="0.35">
      <c r="A721" s="34">
        <v>45449</v>
      </c>
      <c r="B721" s="34" t="str">
        <f t="shared" si="23"/>
        <v>June</v>
      </c>
      <c r="C721" s="4" t="str">
        <f t="shared" si="22"/>
        <v>Thursday</v>
      </c>
      <c r="D721" s="5">
        <v>45449.512285578705</v>
      </c>
      <c r="E721" s="6" t="str" cm="1">
        <f t="array" ref="E721">_xlfn.IFS(HOUR(D721)&gt;=20,"20-24 ",HOUR(D721)&gt;=16,"16-20",HOUR(D721)&gt;=12,"12-16",HOUR(D721)&lt;12,"7-12")</f>
        <v>12-16</v>
      </c>
      <c r="F721" s="6" t="s">
        <v>3</v>
      </c>
      <c r="G721" s="6" t="s">
        <v>279</v>
      </c>
      <c r="H721" s="6">
        <v>27.92</v>
      </c>
      <c r="I721" s="6" t="s">
        <v>11</v>
      </c>
    </row>
    <row r="722" spans="1:9" x14ac:dyDescent="0.35">
      <c r="A722" s="34">
        <v>45449</v>
      </c>
      <c r="B722" s="34" t="str">
        <f t="shared" si="23"/>
        <v>June</v>
      </c>
      <c r="C722" s="4" t="str">
        <f t="shared" si="22"/>
        <v>Thursday</v>
      </c>
      <c r="D722" s="5">
        <v>45449.632803067128</v>
      </c>
      <c r="E722" s="6" t="str" cm="1">
        <f t="array" ref="E722">_xlfn.IFS(HOUR(D722)&gt;=20,"20-24 ",HOUR(D722)&gt;=16,"16-20",HOUR(D722)&gt;=12,"12-16",HOUR(D722)&lt;12,"7-12")</f>
        <v>12-16</v>
      </c>
      <c r="F722" s="6" t="s">
        <v>3</v>
      </c>
      <c r="G722" s="6" t="s">
        <v>238</v>
      </c>
      <c r="H722" s="6">
        <v>32.82</v>
      </c>
      <c r="I722" s="6" t="s">
        <v>14</v>
      </c>
    </row>
    <row r="723" spans="1:9" x14ac:dyDescent="0.35">
      <c r="A723" s="34">
        <v>45449</v>
      </c>
      <c r="B723" s="34" t="str">
        <f t="shared" si="23"/>
        <v>June</v>
      </c>
      <c r="C723" s="4" t="str">
        <f t="shared" si="22"/>
        <v>Thursday</v>
      </c>
      <c r="D723" s="5">
        <v>45449.641738668979</v>
      </c>
      <c r="E723" s="6" t="str" cm="1">
        <f t="array" ref="E723">_xlfn.IFS(HOUR(D723)&gt;=20,"20-24 ",HOUR(D723)&gt;=16,"16-20",HOUR(D723)&gt;=12,"12-16",HOUR(D723)&lt;12,"7-12")</f>
        <v>12-16</v>
      </c>
      <c r="F723" s="6" t="s">
        <v>3</v>
      </c>
      <c r="G723" s="6" t="s">
        <v>280</v>
      </c>
      <c r="H723" s="6">
        <v>37.72</v>
      </c>
      <c r="I723" s="6" t="s">
        <v>43</v>
      </c>
    </row>
    <row r="724" spans="1:9" x14ac:dyDescent="0.35">
      <c r="A724" s="34">
        <v>45449</v>
      </c>
      <c r="B724" s="34" t="str">
        <f t="shared" si="23"/>
        <v>June</v>
      </c>
      <c r="C724" s="4" t="str">
        <f t="shared" si="22"/>
        <v>Thursday</v>
      </c>
      <c r="D724" s="5">
        <v>45449.884781273147</v>
      </c>
      <c r="E724" s="6" t="str" cm="1">
        <f t="array" ref="E724">_xlfn.IFS(HOUR(D724)&gt;=20,"20-24 ",HOUR(D724)&gt;=16,"16-20",HOUR(D724)&gt;=12,"12-16",HOUR(D724)&lt;12,"7-12")</f>
        <v xml:space="preserve">20-24 </v>
      </c>
      <c r="F724" s="6" t="s">
        <v>3</v>
      </c>
      <c r="G724" s="6" t="s">
        <v>281</v>
      </c>
      <c r="H724" s="6">
        <v>37.72</v>
      </c>
      <c r="I724" s="6" t="s">
        <v>7</v>
      </c>
    </row>
    <row r="725" spans="1:9" x14ac:dyDescent="0.35">
      <c r="A725" s="34">
        <v>45449</v>
      </c>
      <c r="B725" s="34" t="str">
        <f t="shared" si="23"/>
        <v>June</v>
      </c>
      <c r="C725" s="4" t="str">
        <f t="shared" si="22"/>
        <v>Thursday</v>
      </c>
      <c r="D725" s="5">
        <v>45449.885905405092</v>
      </c>
      <c r="E725" s="6" t="str" cm="1">
        <f t="array" ref="E725">_xlfn.IFS(HOUR(D725)&gt;=20,"20-24 ",HOUR(D725)&gt;=16,"16-20",HOUR(D725)&gt;=12,"12-16",HOUR(D725)&lt;12,"7-12")</f>
        <v xml:space="preserve">20-24 </v>
      </c>
      <c r="F725" s="6" t="s">
        <v>3</v>
      </c>
      <c r="G725" s="6" t="s">
        <v>281</v>
      </c>
      <c r="H725" s="6">
        <v>37.72</v>
      </c>
      <c r="I725" s="6" t="s">
        <v>7</v>
      </c>
    </row>
    <row r="726" spans="1:9" x14ac:dyDescent="0.35">
      <c r="A726" s="34">
        <v>45449</v>
      </c>
      <c r="B726" s="34" t="str">
        <f t="shared" si="23"/>
        <v>June</v>
      </c>
      <c r="C726" s="4" t="str">
        <f t="shared" si="22"/>
        <v>Thursday</v>
      </c>
      <c r="D726" s="5">
        <v>45449.887809178239</v>
      </c>
      <c r="E726" s="6" t="str" cm="1">
        <f t="array" ref="E726">_xlfn.IFS(HOUR(D726)&gt;=20,"20-24 ",HOUR(D726)&gt;=16,"16-20",HOUR(D726)&gt;=12,"12-16",HOUR(D726)&lt;12,"7-12")</f>
        <v xml:space="preserve">20-24 </v>
      </c>
      <c r="F726" s="6" t="s">
        <v>3</v>
      </c>
      <c r="G726" s="6" t="s">
        <v>220</v>
      </c>
      <c r="H726" s="6">
        <v>37.72</v>
      </c>
      <c r="I726" s="6" t="s">
        <v>43</v>
      </c>
    </row>
    <row r="727" spans="1:9" x14ac:dyDescent="0.35">
      <c r="A727" s="34">
        <v>45449</v>
      </c>
      <c r="B727" s="34" t="str">
        <f t="shared" si="23"/>
        <v>June</v>
      </c>
      <c r="C727" s="4" t="str">
        <f t="shared" si="22"/>
        <v>Thursday</v>
      </c>
      <c r="D727" s="5">
        <v>45449.888546712966</v>
      </c>
      <c r="E727" s="6" t="str" cm="1">
        <f t="array" ref="E727">_xlfn.IFS(HOUR(D727)&gt;=20,"20-24 ",HOUR(D727)&gt;=16,"16-20",HOUR(D727)&gt;=12,"12-16",HOUR(D727)&lt;12,"7-12")</f>
        <v xml:space="preserve">20-24 </v>
      </c>
      <c r="F727" s="6" t="s">
        <v>3</v>
      </c>
      <c r="G727" s="6" t="s">
        <v>220</v>
      </c>
      <c r="H727" s="6">
        <v>32.82</v>
      </c>
      <c r="I727" s="6" t="s">
        <v>14</v>
      </c>
    </row>
    <row r="728" spans="1:9" x14ac:dyDescent="0.35">
      <c r="A728" s="34">
        <v>45449</v>
      </c>
      <c r="B728" s="34" t="str">
        <f t="shared" si="23"/>
        <v>June</v>
      </c>
      <c r="C728" s="4" t="str">
        <f t="shared" si="22"/>
        <v>Thursday</v>
      </c>
      <c r="D728" s="5">
        <v>45449.889634722225</v>
      </c>
      <c r="E728" s="6" t="str" cm="1">
        <f t="array" ref="E728">_xlfn.IFS(HOUR(D728)&gt;=20,"20-24 ",HOUR(D728)&gt;=16,"16-20",HOUR(D728)&gt;=12,"12-16",HOUR(D728)&lt;12,"7-12")</f>
        <v xml:space="preserve">20-24 </v>
      </c>
      <c r="F728" s="6" t="s">
        <v>3</v>
      </c>
      <c r="G728" s="6" t="s">
        <v>281</v>
      </c>
      <c r="H728" s="6">
        <v>37.72</v>
      </c>
      <c r="I728" s="6" t="s">
        <v>7</v>
      </c>
    </row>
    <row r="729" spans="1:9" x14ac:dyDescent="0.35">
      <c r="A729" s="34">
        <v>45450</v>
      </c>
      <c r="B729" s="34" t="str">
        <f t="shared" si="23"/>
        <v>June</v>
      </c>
      <c r="C729" s="4" t="str">
        <f t="shared" si="22"/>
        <v>Friday</v>
      </c>
      <c r="D729" s="5">
        <v>45450.345883055554</v>
      </c>
      <c r="E729" s="6" t="str" cm="1">
        <f t="array" ref="E729">_xlfn.IFS(HOUR(D729)&gt;=20,"20-24 ",HOUR(D729)&gt;=16,"16-20",HOUR(D729)&gt;=12,"12-16",HOUR(D729)&lt;12,"7-12")</f>
        <v>7-12</v>
      </c>
      <c r="F729" s="6" t="s">
        <v>3</v>
      </c>
      <c r="G729" s="6" t="s">
        <v>282</v>
      </c>
      <c r="H729" s="6">
        <v>37.72</v>
      </c>
      <c r="I729" s="6" t="s">
        <v>43</v>
      </c>
    </row>
    <row r="730" spans="1:9" x14ac:dyDescent="0.35">
      <c r="A730" s="34">
        <v>45450</v>
      </c>
      <c r="B730" s="34" t="str">
        <f t="shared" si="23"/>
        <v>June</v>
      </c>
      <c r="C730" s="4" t="str">
        <f t="shared" si="22"/>
        <v>Friday</v>
      </c>
      <c r="D730" s="5">
        <v>45450.441297500001</v>
      </c>
      <c r="E730" s="6" t="str" cm="1">
        <f t="array" ref="E730">_xlfn.IFS(HOUR(D730)&gt;=20,"20-24 ",HOUR(D730)&gt;=16,"16-20",HOUR(D730)&gt;=12,"12-16",HOUR(D730)&lt;12,"7-12")</f>
        <v>7-12</v>
      </c>
      <c r="F730" s="6" t="s">
        <v>3</v>
      </c>
      <c r="G730" s="6" t="s">
        <v>283</v>
      </c>
      <c r="H730" s="6">
        <v>23.02</v>
      </c>
      <c r="I730" s="6" t="s">
        <v>35</v>
      </c>
    </row>
    <row r="731" spans="1:9" x14ac:dyDescent="0.35">
      <c r="A731" s="34">
        <v>45450</v>
      </c>
      <c r="B731" s="34" t="str">
        <f t="shared" si="23"/>
        <v>June</v>
      </c>
      <c r="C731" s="4" t="str">
        <f t="shared" si="22"/>
        <v>Friday</v>
      </c>
      <c r="D731" s="5">
        <v>45450.565489548608</v>
      </c>
      <c r="E731" s="6" t="str" cm="1">
        <f t="array" ref="E731">_xlfn.IFS(HOUR(D731)&gt;=20,"20-24 ",HOUR(D731)&gt;=16,"16-20",HOUR(D731)&gt;=12,"12-16",HOUR(D731)&lt;12,"7-12")</f>
        <v>12-16</v>
      </c>
      <c r="F731" s="6" t="s">
        <v>3</v>
      </c>
      <c r="G731" s="6" t="s">
        <v>178</v>
      </c>
      <c r="H731" s="6">
        <v>32.82</v>
      </c>
      <c r="I731" s="6" t="s">
        <v>14</v>
      </c>
    </row>
    <row r="732" spans="1:9" x14ac:dyDescent="0.35">
      <c r="A732" s="34">
        <v>45450</v>
      </c>
      <c r="B732" s="34" t="str">
        <f t="shared" si="23"/>
        <v>June</v>
      </c>
      <c r="C732" s="4" t="str">
        <f t="shared" si="22"/>
        <v>Friday</v>
      </c>
      <c r="D732" s="5">
        <v>45450.698405300929</v>
      </c>
      <c r="E732" s="6" t="str" cm="1">
        <f t="array" ref="E732">_xlfn.IFS(HOUR(D732)&gt;=20,"20-24 ",HOUR(D732)&gt;=16,"16-20",HOUR(D732)&gt;=12,"12-16",HOUR(D732)&lt;12,"7-12")</f>
        <v>16-20</v>
      </c>
      <c r="F732" s="6" t="s">
        <v>3</v>
      </c>
      <c r="G732" s="6" t="s">
        <v>284</v>
      </c>
      <c r="H732" s="6">
        <v>27.92</v>
      </c>
      <c r="I732" s="6" t="s">
        <v>28</v>
      </c>
    </row>
    <row r="733" spans="1:9" x14ac:dyDescent="0.35">
      <c r="A733" s="34">
        <v>45450</v>
      </c>
      <c r="B733" s="34" t="str">
        <f t="shared" si="23"/>
        <v>June</v>
      </c>
      <c r="C733" s="4" t="str">
        <f t="shared" si="22"/>
        <v>Friday</v>
      </c>
      <c r="D733" s="5">
        <v>45450.699484733799</v>
      </c>
      <c r="E733" s="6" t="str" cm="1">
        <f t="array" ref="E733">_xlfn.IFS(HOUR(D733)&gt;=20,"20-24 ",HOUR(D733)&gt;=16,"16-20",HOUR(D733)&gt;=12,"12-16",HOUR(D733)&lt;12,"7-12")</f>
        <v>16-20</v>
      </c>
      <c r="F733" s="6" t="s">
        <v>3</v>
      </c>
      <c r="G733" s="6" t="s">
        <v>284</v>
      </c>
      <c r="H733" s="6">
        <v>27.92</v>
      </c>
      <c r="I733" s="6" t="s">
        <v>28</v>
      </c>
    </row>
    <row r="734" spans="1:9" x14ac:dyDescent="0.35">
      <c r="A734" s="34">
        <v>45451</v>
      </c>
      <c r="B734" s="34" t="str">
        <f t="shared" si="23"/>
        <v>June</v>
      </c>
      <c r="C734" s="4" t="str">
        <f t="shared" si="22"/>
        <v>Saturday</v>
      </c>
      <c r="D734" s="5">
        <v>45451.378009444445</v>
      </c>
      <c r="E734" s="6" t="str" cm="1">
        <f t="array" ref="E734">_xlfn.IFS(HOUR(D734)&gt;=20,"20-24 ",HOUR(D734)&gt;=16,"16-20",HOUR(D734)&gt;=12,"12-16",HOUR(D734)&lt;12,"7-12")</f>
        <v>7-12</v>
      </c>
      <c r="F734" s="6" t="s">
        <v>3</v>
      </c>
      <c r="G734" s="6" t="s">
        <v>285</v>
      </c>
      <c r="H734" s="6">
        <v>27.92</v>
      </c>
      <c r="I734" s="6" t="s">
        <v>28</v>
      </c>
    </row>
    <row r="735" spans="1:9" x14ac:dyDescent="0.35">
      <c r="A735" s="34">
        <v>45451</v>
      </c>
      <c r="B735" s="34" t="str">
        <f t="shared" si="23"/>
        <v>June</v>
      </c>
      <c r="C735" s="4" t="str">
        <f t="shared" si="22"/>
        <v>Saturday</v>
      </c>
      <c r="D735" s="5">
        <v>45451.393184722219</v>
      </c>
      <c r="E735" s="6" t="str" cm="1">
        <f t="array" ref="E735">_xlfn.IFS(HOUR(D735)&gt;=20,"20-24 ",HOUR(D735)&gt;=16,"16-20",HOUR(D735)&gt;=12,"12-16",HOUR(D735)&lt;12,"7-12")</f>
        <v>7-12</v>
      </c>
      <c r="F735" s="6" t="s">
        <v>3</v>
      </c>
      <c r="G735" s="6" t="s">
        <v>111</v>
      </c>
      <c r="H735" s="6">
        <v>32.82</v>
      </c>
      <c r="I735" s="6" t="s">
        <v>14</v>
      </c>
    </row>
    <row r="736" spans="1:9" x14ac:dyDescent="0.35">
      <c r="A736" s="34">
        <v>45451</v>
      </c>
      <c r="B736" s="34" t="str">
        <f t="shared" si="23"/>
        <v>June</v>
      </c>
      <c r="C736" s="4" t="str">
        <f t="shared" si="22"/>
        <v>Saturday</v>
      </c>
      <c r="D736" s="5">
        <v>45451.850628703702</v>
      </c>
      <c r="E736" s="6" t="str" cm="1">
        <f t="array" ref="E736">_xlfn.IFS(HOUR(D736)&gt;=20,"20-24 ",HOUR(D736)&gt;=16,"16-20",HOUR(D736)&gt;=12,"12-16",HOUR(D736)&lt;12,"7-12")</f>
        <v xml:space="preserve">20-24 </v>
      </c>
      <c r="F736" s="6" t="s">
        <v>3</v>
      </c>
      <c r="G736" s="6" t="s">
        <v>148</v>
      </c>
      <c r="H736" s="6">
        <v>37.72</v>
      </c>
      <c r="I736" s="6" t="s">
        <v>43</v>
      </c>
    </row>
    <row r="737" spans="1:9" x14ac:dyDescent="0.35">
      <c r="A737" s="34">
        <v>45451</v>
      </c>
      <c r="B737" s="34" t="str">
        <f t="shared" si="23"/>
        <v>June</v>
      </c>
      <c r="C737" s="4" t="str">
        <f t="shared" si="22"/>
        <v>Saturday</v>
      </c>
      <c r="D737" s="5">
        <v>45451.851346249998</v>
      </c>
      <c r="E737" s="6" t="str" cm="1">
        <f t="array" ref="E737">_xlfn.IFS(HOUR(D737)&gt;=20,"20-24 ",HOUR(D737)&gt;=16,"16-20",HOUR(D737)&gt;=12,"12-16",HOUR(D737)&lt;12,"7-12")</f>
        <v xml:space="preserve">20-24 </v>
      </c>
      <c r="F737" s="6" t="s">
        <v>3</v>
      </c>
      <c r="G737" s="6" t="s">
        <v>148</v>
      </c>
      <c r="H737" s="6">
        <v>37.72</v>
      </c>
      <c r="I737" s="6" t="s">
        <v>43</v>
      </c>
    </row>
    <row r="738" spans="1:9" x14ac:dyDescent="0.35">
      <c r="A738" s="34">
        <v>45452</v>
      </c>
      <c r="B738" s="34" t="str">
        <f t="shared" si="23"/>
        <v>June</v>
      </c>
      <c r="C738" s="4" t="str">
        <f t="shared" si="22"/>
        <v>Sunday</v>
      </c>
      <c r="D738" s="5">
        <v>45452.344360648145</v>
      </c>
      <c r="E738" s="6" t="str" cm="1">
        <f t="array" ref="E738">_xlfn.IFS(HOUR(D738)&gt;=20,"20-24 ",HOUR(D738)&gt;=16,"16-20",HOUR(D738)&gt;=12,"12-16",HOUR(D738)&lt;12,"7-12")</f>
        <v>7-12</v>
      </c>
      <c r="F738" s="6" t="s">
        <v>3</v>
      </c>
      <c r="G738" s="6" t="s">
        <v>111</v>
      </c>
      <c r="H738" s="6">
        <v>37.72</v>
      </c>
      <c r="I738" s="6" t="s">
        <v>7</v>
      </c>
    </row>
    <row r="739" spans="1:9" x14ac:dyDescent="0.35">
      <c r="A739" s="34">
        <v>45452</v>
      </c>
      <c r="B739" s="34" t="str">
        <f t="shared" si="23"/>
        <v>June</v>
      </c>
      <c r="C739" s="4" t="str">
        <f t="shared" si="22"/>
        <v>Sunday</v>
      </c>
      <c r="D739" s="5">
        <v>45452.437551631941</v>
      </c>
      <c r="E739" s="6" t="str" cm="1">
        <f t="array" ref="E739">_xlfn.IFS(HOUR(D739)&gt;=20,"20-24 ",HOUR(D739)&gt;=16,"16-20",HOUR(D739)&gt;=12,"12-16",HOUR(D739)&lt;12,"7-12")</f>
        <v>7-12</v>
      </c>
      <c r="F739" s="6" t="s">
        <v>3</v>
      </c>
      <c r="G739" s="6" t="s">
        <v>286</v>
      </c>
      <c r="H739" s="6">
        <v>37.72</v>
      </c>
      <c r="I739" s="6" t="s">
        <v>7</v>
      </c>
    </row>
    <row r="740" spans="1:9" x14ac:dyDescent="0.35">
      <c r="A740" s="34">
        <v>45452</v>
      </c>
      <c r="B740" s="34" t="str">
        <f t="shared" si="23"/>
        <v>June</v>
      </c>
      <c r="C740" s="4" t="str">
        <f t="shared" si="22"/>
        <v>Sunday</v>
      </c>
      <c r="D740" s="5">
        <v>45452.452844872685</v>
      </c>
      <c r="E740" s="6" t="str" cm="1">
        <f t="array" ref="E740">_xlfn.IFS(HOUR(D740)&gt;=20,"20-24 ",HOUR(D740)&gt;=16,"16-20",HOUR(D740)&gt;=12,"12-16",HOUR(D740)&lt;12,"7-12")</f>
        <v>7-12</v>
      </c>
      <c r="F740" s="6" t="s">
        <v>3</v>
      </c>
      <c r="G740" s="6" t="s">
        <v>287</v>
      </c>
      <c r="H740" s="6">
        <v>37.72</v>
      </c>
      <c r="I740" s="6" t="s">
        <v>43</v>
      </c>
    </row>
    <row r="741" spans="1:9" x14ac:dyDescent="0.35">
      <c r="A741" s="34">
        <v>45452</v>
      </c>
      <c r="B741" s="34" t="str">
        <f t="shared" si="23"/>
        <v>June</v>
      </c>
      <c r="C741" s="4" t="str">
        <f t="shared" si="22"/>
        <v>Sunday</v>
      </c>
      <c r="D741" s="5">
        <v>45452.461589189814</v>
      </c>
      <c r="E741" s="6" t="str" cm="1">
        <f t="array" ref="E741">_xlfn.IFS(HOUR(D741)&gt;=20,"20-24 ",HOUR(D741)&gt;=16,"16-20",HOUR(D741)&gt;=12,"12-16",HOUR(D741)&lt;12,"7-12")</f>
        <v>7-12</v>
      </c>
      <c r="F741" s="6" t="s">
        <v>3</v>
      </c>
      <c r="G741" s="6" t="s">
        <v>155</v>
      </c>
      <c r="H741" s="6">
        <v>27.92</v>
      </c>
      <c r="I741" s="6" t="s">
        <v>28</v>
      </c>
    </row>
    <row r="742" spans="1:9" x14ac:dyDescent="0.35">
      <c r="A742" s="34">
        <v>45452</v>
      </c>
      <c r="B742" s="34" t="str">
        <f t="shared" si="23"/>
        <v>June</v>
      </c>
      <c r="C742" s="4" t="str">
        <f t="shared" si="22"/>
        <v>Sunday</v>
      </c>
      <c r="D742" s="5">
        <v>45452.463288287036</v>
      </c>
      <c r="E742" s="6" t="str" cm="1">
        <f t="array" ref="E742">_xlfn.IFS(HOUR(D742)&gt;=20,"20-24 ",HOUR(D742)&gt;=16,"16-20",HOUR(D742)&gt;=12,"12-16",HOUR(D742)&lt;12,"7-12")</f>
        <v>7-12</v>
      </c>
      <c r="F742" s="6" t="s">
        <v>3</v>
      </c>
      <c r="G742" s="6" t="s">
        <v>288</v>
      </c>
      <c r="H742" s="6">
        <v>23.02</v>
      </c>
      <c r="I742" s="6" t="s">
        <v>35</v>
      </c>
    </row>
    <row r="743" spans="1:9" x14ac:dyDescent="0.35">
      <c r="A743" s="34">
        <v>45452</v>
      </c>
      <c r="B743" s="34" t="str">
        <f t="shared" si="23"/>
        <v>June</v>
      </c>
      <c r="C743" s="4" t="str">
        <f t="shared" si="22"/>
        <v>Sunday</v>
      </c>
      <c r="D743" s="5">
        <v>45452.495018703703</v>
      </c>
      <c r="E743" s="6" t="str" cm="1">
        <f t="array" ref="E743">_xlfn.IFS(HOUR(D743)&gt;=20,"20-24 ",HOUR(D743)&gt;=16,"16-20",HOUR(D743)&gt;=12,"12-16",HOUR(D743)&lt;12,"7-12")</f>
        <v>7-12</v>
      </c>
      <c r="F743" s="6" t="s">
        <v>3</v>
      </c>
      <c r="G743" s="6" t="s">
        <v>289</v>
      </c>
      <c r="H743" s="6">
        <v>37.72</v>
      </c>
      <c r="I743" s="6" t="s">
        <v>43</v>
      </c>
    </row>
    <row r="744" spans="1:9" x14ac:dyDescent="0.35">
      <c r="A744" s="34">
        <v>45452</v>
      </c>
      <c r="B744" s="34" t="str">
        <f t="shared" si="23"/>
        <v>June</v>
      </c>
      <c r="C744" s="4" t="str">
        <f t="shared" si="22"/>
        <v>Sunday</v>
      </c>
      <c r="D744" s="5">
        <v>45452.507912499997</v>
      </c>
      <c r="E744" s="6" t="str" cm="1">
        <f t="array" ref="E744">_xlfn.IFS(HOUR(D744)&gt;=20,"20-24 ",HOUR(D744)&gt;=16,"16-20",HOUR(D744)&gt;=12,"12-16",HOUR(D744)&lt;12,"7-12")</f>
        <v>12-16</v>
      </c>
      <c r="F744" s="6" t="s">
        <v>3</v>
      </c>
      <c r="G744" s="6" t="s">
        <v>290</v>
      </c>
      <c r="H744" s="6">
        <v>32.82</v>
      </c>
      <c r="I744" s="6" t="s">
        <v>14</v>
      </c>
    </row>
    <row r="745" spans="1:9" x14ac:dyDescent="0.35">
      <c r="A745" s="34">
        <v>45452</v>
      </c>
      <c r="B745" s="34" t="str">
        <f t="shared" si="23"/>
        <v>June</v>
      </c>
      <c r="C745" s="4" t="str">
        <f t="shared" si="22"/>
        <v>Sunday</v>
      </c>
      <c r="D745" s="5">
        <v>45452.509121145835</v>
      </c>
      <c r="E745" s="6" t="str" cm="1">
        <f t="array" ref="E745">_xlfn.IFS(HOUR(D745)&gt;=20,"20-24 ",HOUR(D745)&gt;=16,"16-20",HOUR(D745)&gt;=12,"12-16",HOUR(D745)&lt;12,"7-12")</f>
        <v>12-16</v>
      </c>
      <c r="F745" s="6" t="s">
        <v>3</v>
      </c>
      <c r="G745" s="6" t="s">
        <v>290</v>
      </c>
      <c r="H745" s="6">
        <v>37.72</v>
      </c>
      <c r="I745" s="6" t="s">
        <v>7</v>
      </c>
    </row>
    <row r="746" spans="1:9" x14ac:dyDescent="0.35">
      <c r="A746" s="34">
        <v>45452</v>
      </c>
      <c r="B746" s="34" t="str">
        <f t="shared" si="23"/>
        <v>June</v>
      </c>
      <c r="C746" s="4" t="str">
        <f t="shared" si="22"/>
        <v>Sunday</v>
      </c>
      <c r="D746" s="5">
        <v>45452.50984702546</v>
      </c>
      <c r="E746" s="6" t="str" cm="1">
        <f t="array" ref="E746">_xlfn.IFS(HOUR(D746)&gt;=20,"20-24 ",HOUR(D746)&gt;=16,"16-20",HOUR(D746)&gt;=12,"12-16",HOUR(D746)&lt;12,"7-12")</f>
        <v>12-16</v>
      </c>
      <c r="F746" s="6" t="s">
        <v>3</v>
      </c>
      <c r="G746" s="6" t="s">
        <v>290</v>
      </c>
      <c r="H746" s="6">
        <v>37.72</v>
      </c>
      <c r="I746" s="6" t="s">
        <v>7</v>
      </c>
    </row>
    <row r="747" spans="1:9" x14ac:dyDescent="0.35">
      <c r="A747" s="34">
        <v>45452</v>
      </c>
      <c r="B747" s="34" t="str">
        <f t="shared" si="23"/>
        <v>June</v>
      </c>
      <c r="C747" s="4" t="str">
        <f t="shared" si="22"/>
        <v>Sunday</v>
      </c>
      <c r="D747" s="5">
        <v>45452.632299675926</v>
      </c>
      <c r="E747" s="6" t="str" cm="1">
        <f t="array" ref="E747">_xlfn.IFS(HOUR(D747)&gt;=20,"20-24 ",HOUR(D747)&gt;=16,"16-20",HOUR(D747)&gt;=12,"12-16",HOUR(D747)&lt;12,"7-12")</f>
        <v>12-16</v>
      </c>
      <c r="F747" s="6" t="s">
        <v>3</v>
      </c>
      <c r="G747" s="6" t="s">
        <v>291</v>
      </c>
      <c r="H747" s="6">
        <v>27.92</v>
      </c>
      <c r="I747" s="6" t="s">
        <v>28</v>
      </c>
    </row>
    <row r="748" spans="1:9" x14ac:dyDescent="0.35">
      <c r="A748" s="34">
        <v>45452</v>
      </c>
      <c r="B748" s="34" t="str">
        <f t="shared" si="23"/>
        <v>June</v>
      </c>
      <c r="C748" s="4" t="str">
        <f t="shared" si="22"/>
        <v>Sunday</v>
      </c>
      <c r="D748" s="5">
        <v>45452.678798483794</v>
      </c>
      <c r="E748" s="6" t="str" cm="1">
        <f t="array" ref="E748">_xlfn.IFS(HOUR(D748)&gt;=20,"20-24 ",HOUR(D748)&gt;=16,"16-20",HOUR(D748)&gt;=12,"12-16",HOUR(D748)&lt;12,"7-12")</f>
        <v>16-20</v>
      </c>
      <c r="F748" s="6" t="s">
        <v>3</v>
      </c>
      <c r="G748" s="6" t="s">
        <v>292</v>
      </c>
      <c r="H748" s="6">
        <v>37.72</v>
      </c>
      <c r="I748" s="6" t="s">
        <v>43</v>
      </c>
    </row>
    <row r="749" spans="1:9" x14ac:dyDescent="0.35">
      <c r="A749" s="34">
        <v>45452</v>
      </c>
      <c r="B749" s="34" t="str">
        <f t="shared" si="23"/>
        <v>June</v>
      </c>
      <c r="C749" s="4" t="str">
        <f t="shared" si="22"/>
        <v>Sunday</v>
      </c>
      <c r="D749" s="5">
        <v>45452.806473113429</v>
      </c>
      <c r="E749" s="6" t="str" cm="1">
        <f t="array" ref="E749">_xlfn.IFS(HOUR(D749)&gt;=20,"20-24 ",HOUR(D749)&gt;=16,"16-20",HOUR(D749)&gt;=12,"12-16",HOUR(D749)&lt;12,"7-12")</f>
        <v>16-20</v>
      </c>
      <c r="F749" s="6" t="s">
        <v>3</v>
      </c>
      <c r="G749" s="6" t="s">
        <v>293</v>
      </c>
      <c r="H749" s="6">
        <v>32.82</v>
      </c>
      <c r="I749" s="6" t="s">
        <v>14</v>
      </c>
    </row>
    <row r="750" spans="1:9" x14ac:dyDescent="0.35">
      <c r="A750" s="34">
        <v>45452</v>
      </c>
      <c r="B750" s="34" t="str">
        <f t="shared" si="23"/>
        <v>June</v>
      </c>
      <c r="C750" s="4" t="str">
        <f t="shared" si="22"/>
        <v>Sunday</v>
      </c>
      <c r="D750" s="5">
        <v>45452.87857458333</v>
      </c>
      <c r="E750" s="6" t="str" cm="1">
        <f t="array" ref="E750">_xlfn.IFS(HOUR(D750)&gt;=20,"20-24 ",HOUR(D750)&gt;=16,"16-20",HOUR(D750)&gt;=12,"12-16",HOUR(D750)&lt;12,"7-12")</f>
        <v xml:space="preserve">20-24 </v>
      </c>
      <c r="F750" s="6" t="s">
        <v>3</v>
      </c>
      <c r="G750" s="6" t="s">
        <v>294</v>
      </c>
      <c r="H750" s="6">
        <v>27.92</v>
      </c>
      <c r="I750" s="6" t="s">
        <v>11</v>
      </c>
    </row>
    <row r="751" spans="1:9" x14ac:dyDescent="0.35">
      <c r="A751" s="34">
        <v>45453</v>
      </c>
      <c r="B751" s="34" t="str">
        <f t="shared" si="23"/>
        <v>June</v>
      </c>
      <c r="C751" s="4" t="str">
        <f t="shared" si="22"/>
        <v>Monday</v>
      </c>
      <c r="D751" s="5">
        <v>45453.5332159838</v>
      </c>
      <c r="E751" s="6" t="str" cm="1">
        <f t="array" ref="E751">_xlfn.IFS(HOUR(D751)&gt;=20,"20-24 ",HOUR(D751)&gt;=16,"16-20",HOUR(D751)&gt;=12,"12-16",HOUR(D751)&lt;12,"7-12")</f>
        <v>12-16</v>
      </c>
      <c r="F751" s="6" t="s">
        <v>3</v>
      </c>
      <c r="G751" s="6" t="s">
        <v>295</v>
      </c>
      <c r="H751" s="6">
        <v>37.72</v>
      </c>
      <c r="I751" s="6" t="s">
        <v>43</v>
      </c>
    </row>
    <row r="752" spans="1:9" x14ac:dyDescent="0.35">
      <c r="A752" s="34">
        <v>45453</v>
      </c>
      <c r="B752" s="34" t="str">
        <f t="shared" si="23"/>
        <v>June</v>
      </c>
      <c r="C752" s="4" t="str">
        <f t="shared" si="22"/>
        <v>Monday</v>
      </c>
      <c r="D752" s="5">
        <v>45453.539447546296</v>
      </c>
      <c r="E752" s="6" t="str" cm="1">
        <f t="array" ref="E752">_xlfn.IFS(HOUR(D752)&gt;=20,"20-24 ",HOUR(D752)&gt;=16,"16-20",HOUR(D752)&gt;=12,"12-16",HOUR(D752)&lt;12,"7-12")</f>
        <v>12-16</v>
      </c>
      <c r="F752" s="6" t="s">
        <v>3</v>
      </c>
      <c r="G752" s="6" t="s">
        <v>111</v>
      </c>
      <c r="H752" s="6">
        <v>37.72</v>
      </c>
      <c r="I752" s="6" t="s">
        <v>7</v>
      </c>
    </row>
    <row r="753" spans="1:9" x14ac:dyDescent="0.35">
      <c r="A753" s="34">
        <v>45453</v>
      </c>
      <c r="B753" s="34" t="str">
        <f t="shared" si="23"/>
        <v>June</v>
      </c>
      <c r="C753" s="4" t="str">
        <f t="shared" si="22"/>
        <v>Monday</v>
      </c>
      <c r="D753" s="5">
        <v>45453.794769745371</v>
      </c>
      <c r="E753" s="6" t="str" cm="1">
        <f t="array" ref="E753">_xlfn.IFS(HOUR(D753)&gt;=20,"20-24 ",HOUR(D753)&gt;=16,"16-20",HOUR(D753)&gt;=12,"12-16",HOUR(D753)&lt;12,"7-12")</f>
        <v>16-20</v>
      </c>
      <c r="F753" s="6" t="s">
        <v>3</v>
      </c>
      <c r="G753" s="6" t="s">
        <v>296</v>
      </c>
      <c r="H753" s="6">
        <v>37.72</v>
      </c>
      <c r="I753" s="6" t="s">
        <v>9</v>
      </c>
    </row>
    <row r="754" spans="1:9" x14ac:dyDescent="0.35">
      <c r="A754" s="34">
        <v>45453</v>
      </c>
      <c r="B754" s="34" t="str">
        <f t="shared" si="23"/>
        <v>June</v>
      </c>
      <c r="C754" s="4" t="str">
        <f t="shared" si="22"/>
        <v>Monday</v>
      </c>
      <c r="D754" s="5">
        <v>45453.795402430558</v>
      </c>
      <c r="E754" s="6" t="str" cm="1">
        <f t="array" ref="E754">_xlfn.IFS(HOUR(D754)&gt;=20,"20-24 ",HOUR(D754)&gt;=16,"16-20",HOUR(D754)&gt;=12,"12-16",HOUR(D754)&lt;12,"7-12")</f>
        <v>16-20</v>
      </c>
      <c r="F754" s="6" t="s">
        <v>3</v>
      </c>
      <c r="G754" s="6" t="s">
        <v>296</v>
      </c>
      <c r="H754" s="6">
        <v>37.72</v>
      </c>
      <c r="I754" s="6" t="s">
        <v>9</v>
      </c>
    </row>
    <row r="755" spans="1:9" x14ac:dyDescent="0.35">
      <c r="A755" s="34">
        <v>45453</v>
      </c>
      <c r="B755" s="34" t="str">
        <f t="shared" si="23"/>
        <v>June</v>
      </c>
      <c r="C755" s="4" t="str">
        <f t="shared" si="22"/>
        <v>Monday</v>
      </c>
      <c r="D755" s="5">
        <v>45453.817634282408</v>
      </c>
      <c r="E755" s="6" t="str" cm="1">
        <f t="array" ref="E755">_xlfn.IFS(HOUR(D755)&gt;=20,"20-24 ",HOUR(D755)&gt;=16,"16-20",HOUR(D755)&gt;=12,"12-16",HOUR(D755)&lt;12,"7-12")</f>
        <v>16-20</v>
      </c>
      <c r="F755" s="6" t="s">
        <v>3</v>
      </c>
      <c r="G755" s="6" t="s">
        <v>297</v>
      </c>
      <c r="H755" s="6">
        <v>37.72</v>
      </c>
      <c r="I755" s="6" t="s">
        <v>7</v>
      </c>
    </row>
    <row r="756" spans="1:9" x14ac:dyDescent="0.35">
      <c r="A756" s="34">
        <v>45453</v>
      </c>
      <c r="B756" s="34" t="str">
        <f t="shared" si="23"/>
        <v>June</v>
      </c>
      <c r="C756" s="4" t="str">
        <f t="shared" si="22"/>
        <v>Monday</v>
      </c>
      <c r="D756" s="5">
        <v>45453.818283310182</v>
      </c>
      <c r="E756" s="6" t="str" cm="1">
        <f t="array" ref="E756">_xlfn.IFS(HOUR(D756)&gt;=20,"20-24 ",HOUR(D756)&gt;=16,"16-20",HOUR(D756)&gt;=12,"12-16",HOUR(D756)&lt;12,"7-12")</f>
        <v>16-20</v>
      </c>
      <c r="F756" s="6" t="s">
        <v>3</v>
      </c>
      <c r="G756" s="6" t="s">
        <v>297</v>
      </c>
      <c r="H756" s="6">
        <v>37.72</v>
      </c>
      <c r="I756" s="6" t="s">
        <v>7</v>
      </c>
    </row>
    <row r="757" spans="1:9" x14ac:dyDescent="0.35">
      <c r="A757" s="34">
        <v>45454</v>
      </c>
      <c r="B757" s="34" t="str">
        <f t="shared" si="23"/>
        <v>June</v>
      </c>
      <c r="C757" s="4" t="str">
        <f t="shared" si="22"/>
        <v>Tuesday</v>
      </c>
      <c r="D757" s="5">
        <v>45454.443101307872</v>
      </c>
      <c r="E757" s="6" t="str" cm="1">
        <f t="array" ref="E757">_xlfn.IFS(HOUR(D757)&gt;=20,"20-24 ",HOUR(D757)&gt;=16,"16-20",HOUR(D757)&gt;=12,"12-16",HOUR(D757)&lt;12,"7-12")</f>
        <v>7-12</v>
      </c>
      <c r="F757" s="6" t="s">
        <v>3</v>
      </c>
      <c r="G757" s="6" t="s">
        <v>298</v>
      </c>
      <c r="H757" s="6">
        <v>32.82</v>
      </c>
      <c r="I757" s="6" t="s">
        <v>14</v>
      </c>
    </row>
    <row r="758" spans="1:9" x14ac:dyDescent="0.35">
      <c r="A758" s="34">
        <v>45454</v>
      </c>
      <c r="B758" s="34" t="str">
        <f t="shared" si="23"/>
        <v>June</v>
      </c>
      <c r="C758" s="4" t="str">
        <f t="shared" si="22"/>
        <v>Tuesday</v>
      </c>
      <c r="D758" s="5">
        <v>45454.783626064818</v>
      </c>
      <c r="E758" s="6" t="str" cm="1">
        <f t="array" ref="E758">_xlfn.IFS(HOUR(D758)&gt;=20,"20-24 ",HOUR(D758)&gt;=16,"16-20",HOUR(D758)&gt;=12,"12-16",HOUR(D758)&lt;12,"7-12")</f>
        <v>16-20</v>
      </c>
      <c r="F758" s="6" t="s">
        <v>3</v>
      </c>
      <c r="G758" s="6" t="s">
        <v>299</v>
      </c>
      <c r="H758" s="6">
        <v>37.72</v>
      </c>
      <c r="I758" s="6" t="s">
        <v>7</v>
      </c>
    </row>
    <row r="759" spans="1:9" x14ac:dyDescent="0.35">
      <c r="A759" s="34">
        <v>45454</v>
      </c>
      <c r="B759" s="34" t="str">
        <f t="shared" si="23"/>
        <v>June</v>
      </c>
      <c r="C759" s="4" t="str">
        <f t="shared" si="22"/>
        <v>Tuesday</v>
      </c>
      <c r="D759" s="5">
        <v>45454.784449398147</v>
      </c>
      <c r="E759" s="6" t="str" cm="1">
        <f t="array" ref="E759">_xlfn.IFS(HOUR(D759)&gt;=20,"20-24 ",HOUR(D759)&gt;=16,"16-20",HOUR(D759)&gt;=12,"12-16",HOUR(D759)&lt;12,"7-12")</f>
        <v>16-20</v>
      </c>
      <c r="F759" s="6" t="s">
        <v>3</v>
      </c>
      <c r="G759" s="6" t="s">
        <v>299</v>
      </c>
      <c r="H759" s="6">
        <v>37.72</v>
      </c>
      <c r="I759" s="6" t="s">
        <v>7</v>
      </c>
    </row>
    <row r="760" spans="1:9" x14ac:dyDescent="0.35">
      <c r="A760" s="34">
        <v>45454</v>
      </c>
      <c r="B760" s="34" t="str">
        <f t="shared" si="23"/>
        <v>June</v>
      </c>
      <c r="C760" s="4" t="str">
        <f t="shared" si="22"/>
        <v>Tuesday</v>
      </c>
      <c r="D760" s="5">
        <v>45454.886844259257</v>
      </c>
      <c r="E760" s="6" t="str" cm="1">
        <f t="array" ref="E760">_xlfn.IFS(HOUR(D760)&gt;=20,"20-24 ",HOUR(D760)&gt;=16,"16-20",HOUR(D760)&gt;=12,"12-16",HOUR(D760)&lt;12,"7-12")</f>
        <v xml:space="preserve">20-24 </v>
      </c>
      <c r="F760" s="6" t="s">
        <v>3</v>
      </c>
      <c r="G760" s="6" t="s">
        <v>300</v>
      </c>
      <c r="H760" s="6">
        <v>37.72</v>
      </c>
      <c r="I760" s="6" t="s">
        <v>9</v>
      </c>
    </row>
    <row r="761" spans="1:9" x14ac:dyDescent="0.35">
      <c r="A761" s="34">
        <v>45454</v>
      </c>
      <c r="B761" s="34" t="str">
        <f t="shared" si="23"/>
        <v>June</v>
      </c>
      <c r="C761" s="4" t="str">
        <f t="shared" si="22"/>
        <v>Tuesday</v>
      </c>
      <c r="D761" s="5">
        <v>45454.894234953703</v>
      </c>
      <c r="E761" s="6" t="str" cm="1">
        <f t="array" ref="E761">_xlfn.IFS(HOUR(D761)&gt;=20,"20-24 ",HOUR(D761)&gt;=16,"16-20",HOUR(D761)&gt;=12,"12-16",HOUR(D761)&lt;12,"7-12")</f>
        <v xml:space="preserve">20-24 </v>
      </c>
      <c r="F761" s="6" t="s">
        <v>3</v>
      </c>
      <c r="G761" s="6" t="s">
        <v>301</v>
      </c>
      <c r="H761" s="6">
        <v>32.82</v>
      </c>
      <c r="I761" s="6" t="s">
        <v>14</v>
      </c>
    </row>
    <row r="762" spans="1:9" x14ac:dyDescent="0.35">
      <c r="A762" s="34">
        <v>45454</v>
      </c>
      <c r="B762" s="34" t="str">
        <f t="shared" si="23"/>
        <v>June</v>
      </c>
      <c r="C762" s="4" t="str">
        <f t="shared" si="22"/>
        <v>Tuesday</v>
      </c>
      <c r="D762" s="5">
        <v>45454.895025694444</v>
      </c>
      <c r="E762" s="6" t="str" cm="1">
        <f t="array" ref="E762">_xlfn.IFS(HOUR(D762)&gt;=20,"20-24 ",HOUR(D762)&gt;=16,"16-20",HOUR(D762)&gt;=12,"12-16",HOUR(D762)&lt;12,"7-12")</f>
        <v xml:space="preserve">20-24 </v>
      </c>
      <c r="F762" s="6" t="s">
        <v>3</v>
      </c>
      <c r="G762" s="6" t="s">
        <v>301</v>
      </c>
      <c r="H762" s="6">
        <v>32.82</v>
      </c>
      <c r="I762" s="6" t="s">
        <v>14</v>
      </c>
    </row>
    <row r="763" spans="1:9" x14ac:dyDescent="0.35">
      <c r="A763" s="34">
        <v>45455</v>
      </c>
      <c r="B763" s="34" t="str">
        <f t="shared" si="23"/>
        <v>June</v>
      </c>
      <c r="C763" s="4" t="str">
        <f t="shared" si="22"/>
        <v>Wednesday</v>
      </c>
      <c r="D763" s="5">
        <v>45455.429384097224</v>
      </c>
      <c r="E763" s="6" t="str" cm="1">
        <f t="array" ref="E763">_xlfn.IFS(HOUR(D763)&gt;=20,"20-24 ",HOUR(D763)&gt;=16,"16-20",HOUR(D763)&gt;=12,"12-16",HOUR(D763)&lt;12,"7-12")</f>
        <v>7-12</v>
      </c>
      <c r="F763" s="6" t="s">
        <v>3</v>
      </c>
      <c r="G763" s="6" t="s">
        <v>302</v>
      </c>
      <c r="H763" s="6">
        <v>37.72</v>
      </c>
      <c r="I763" s="6" t="s">
        <v>9</v>
      </c>
    </row>
    <row r="764" spans="1:9" x14ac:dyDescent="0.35">
      <c r="A764" s="34">
        <v>45455</v>
      </c>
      <c r="B764" s="34" t="str">
        <f t="shared" si="23"/>
        <v>June</v>
      </c>
      <c r="C764" s="4" t="str">
        <f t="shared" si="22"/>
        <v>Wednesday</v>
      </c>
      <c r="D764" s="5">
        <v>45455.494257615741</v>
      </c>
      <c r="E764" s="6" t="str" cm="1">
        <f t="array" ref="E764">_xlfn.IFS(HOUR(D764)&gt;=20,"20-24 ",HOUR(D764)&gt;=16,"16-20",HOUR(D764)&gt;=12,"12-16",HOUR(D764)&lt;12,"7-12")</f>
        <v>7-12</v>
      </c>
      <c r="F764" s="6" t="s">
        <v>3</v>
      </c>
      <c r="G764" s="6" t="s">
        <v>303</v>
      </c>
      <c r="H764" s="6">
        <v>37.72</v>
      </c>
      <c r="I764" s="6" t="s">
        <v>43</v>
      </c>
    </row>
    <row r="765" spans="1:9" x14ac:dyDescent="0.35">
      <c r="A765" s="34">
        <v>45455</v>
      </c>
      <c r="B765" s="34" t="str">
        <f t="shared" si="23"/>
        <v>June</v>
      </c>
      <c r="C765" s="4" t="str">
        <f t="shared" si="22"/>
        <v>Wednesday</v>
      </c>
      <c r="D765" s="5">
        <v>45455.737004386574</v>
      </c>
      <c r="E765" s="6" t="str" cm="1">
        <f t="array" ref="E765">_xlfn.IFS(HOUR(D765)&gt;=20,"20-24 ",HOUR(D765)&gt;=16,"16-20",HOUR(D765)&gt;=12,"12-16",HOUR(D765)&lt;12,"7-12")</f>
        <v>16-20</v>
      </c>
      <c r="F765" s="6" t="s">
        <v>3</v>
      </c>
      <c r="G765" s="6" t="s">
        <v>297</v>
      </c>
      <c r="H765" s="6">
        <v>37.72</v>
      </c>
      <c r="I765" s="6" t="s">
        <v>7</v>
      </c>
    </row>
    <row r="766" spans="1:9" x14ac:dyDescent="0.35">
      <c r="A766" s="34">
        <v>45455</v>
      </c>
      <c r="B766" s="34" t="str">
        <f t="shared" si="23"/>
        <v>June</v>
      </c>
      <c r="C766" s="4" t="str">
        <f t="shared" si="22"/>
        <v>Wednesday</v>
      </c>
      <c r="D766" s="5">
        <v>45455.741294884261</v>
      </c>
      <c r="E766" s="6" t="str" cm="1">
        <f t="array" ref="E766">_xlfn.IFS(HOUR(D766)&gt;=20,"20-24 ",HOUR(D766)&gt;=16,"16-20",HOUR(D766)&gt;=12,"12-16",HOUR(D766)&lt;12,"7-12")</f>
        <v>16-20</v>
      </c>
      <c r="F766" s="6" t="s">
        <v>3</v>
      </c>
      <c r="G766" s="6" t="s">
        <v>304</v>
      </c>
      <c r="H766" s="6">
        <v>37.72</v>
      </c>
      <c r="I766" s="6" t="s">
        <v>7</v>
      </c>
    </row>
    <row r="767" spans="1:9" x14ac:dyDescent="0.35">
      <c r="A767" s="34">
        <v>45455</v>
      </c>
      <c r="B767" s="34" t="str">
        <f t="shared" si="23"/>
        <v>June</v>
      </c>
      <c r="C767" s="4" t="str">
        <f t="shared" si="22"/>
        <v>Wednesday</v>
      </c>
      <c r="D767" s="5">
        <v>45455.844833888892</v>
      </c>
      <c r="E767" s="6" t="str" cm="1">
        <f t="array" ref="E767">_xlfn.IFS(HOUR(D767)&gt;=20,"20-24 ",HOUR(D767)&gt;=16,"16-20",HOUR(D767)&gt;=12,"12-16",HOUR(D767)&lt;12,"7-12")</f>
        <v xml:space="preserve">20-24 </v>
      </c>
      <c r="F767" s="6" t="s">
        <v>3</v>
      </c>
      <c r="G767" s="6" t="s">
        <v>270</v>
      </c>
      <c r="H767" s="6">
        <v>37.72</v>
      </c>
      <c r="I767" s="6" t="s">
        <v>9</v>
      </c>
    </row>
    <row r="768" spans="1:9" x14ac:dyDescent="0.35">
      <c r="A768" s="34">
        <v>45455</v>
      </c>
      <c r="B768" s="34" t="str">
        <f t="shared" si="23"/>
        <v>June</v>
      </c>
      <c r="C768" s="4" t="str">
        <f t="shared" si="22"/>
        <v>Wednesday</v>
      </c>
      <c r="D768" s="5">
        <v>45455.851090729164</v>
      </c>
      <c r="E768" s="6" t="str" cm="1">
        <f t="array" ref="E768">_xlfn.IFS(HOUR(D768)&gt;=20,"20-24 ",HOUR(D768)&gt;=16,"16-20",HOUR(D768)&gt;=12,"12-16",HOUR(D768)&lt;12,"7-12")</f>
        <v xml:space="preserve">20-24 </v>
      </c>
      <c r="F768" s="6" t="s">
        <v>3</v>
      </c>
      <c r="G768" s="6" t="s">
        <v>305</v>
      </c>
      <c r="H768" s="6">
        <v>32.82</v>
      </c>
      <c r="I768" s="6" t="s">
        <v>14</v>
      </c>
    </row>
    <row r="769" spans="1:9" x14ac:dyDescent="0.35">
      <c r="A769" s="34">
        <v>45456</v>
      </c>
      <c r="B769" s="34" t="str">
        <f t="shared" si="23"/>
        <v>June</v>
      </c>
      <c r="C769" s="4" t="str">
        <f t="shared" si="22"/>
        <v>Thursday</v>
      </c>
      <c r="D769" s="5">
        <v>45456.371113506946</v>
      </c>
      <c r="E769" s="6" t="str" cm="1">
        <f t="array" ref="E769">_xlfn.IFS(HOUR(D769)&gt;=20,"20-24 ",HOUR(D769)&gt;=16,"16-20",HOUR(D769)&gt;=12,"12-16",HOUR(D769)&lt;12,"7-12")</f>
        <v>7-12</v>
      </c>
      <c r="F769" s="6" t="s">
        <v>3</v>
      </c>
      <c r="G769" s="6" t="s">
        <v>306</v>
      </c>
      <c r="H769" s="6">
        <v>27.92</v>
      </c>
      <c r="I769" s="6" t="s">
        <v>11</v>
      </c>
    </row>
    <row r="770" spans="1:9" x14ac:dyDescent="0.35">
      <c r="A770" s="34">
        <v>45456</v>
      </c>
      <c r="B770" s="34" t="str">
        <f t="shared" si="23"/>
        <v>June</v>
      </c>
      <c r="C770" s="4" t="str">
        <f t="shared" ref="C770:C833" si="24">TEXT(A770,"ddddddddd")</f>
        <v>Thursday</v>
      </c>
      <c r="D770" s="5">
        <v>45456.37321287037</v>
      </c>
      <c r="E770" s="6" t="str" cm="1">
        <f t="array" ref="E770">_xlfn.IFS(HOUR(D770)&gt;=20,"20-24 ",HOUR(D770)&gt;=16,"16-20",HOUR(D770)&gt;=12,"12-16",HOUR(D770)&lt;12,"7-12")</f>
        <v>7-12</v>
      </c>
      <c r="F770" s="6" t="s">
        <v>3</v>
      </c>
      <c r="G770" s="6" t="s">
        <v>111</v>
      </c>
      <c r="H770" s="6">
        <v>37.72</v>
      </c>
      <c r="I770" s="6" t="s">
        <v>7</v>
      </c>
    </row>
    <row r="771" spans="1:9" x14ac:dyDescent="0.35">
      <c r="A771" s="34">
        <v>45456</v>
      </c>
      <c r="B771" s="34" t="str">
        <f t="shared" ref="B771:B834" si="25">TEXT(A771, "mmmm")</f>
        <v>June</v>
      </c>
      <c r="C771" s="4" t="str">
        <f t="shared" si="24"/>
        <v>Thursday</v>
      </c>
      <c r="D771" s="5">
        <v>45456.41001201389</v>
      </c>
      <c r="E771" s="6" t="str" cm="1">
        <f t="array" ref="E771">_xlfn.IFS(HOUR(D771)&gt;=20,"20-24 ",HOUR(D771)&gt;=16,"16-20",HOUR(D771)&gt;=12,"12-16",HOUR(D771)&lt;12,"7-12")</f>
        <v>7-12</v>
      </c>
      <c r="F771" s="6" t="s">
        <v>3</v>
      </c>
      <c r="G771" s="6" t="s">
        <v>307</v>
      </c>
      <c r="H771" s="6">
        <v>32.82</v>
      </c>
      <c r="I771" s="6" t="s">
        <v>14</v>
      </c>
    </row>
    <row r="772" spans="1:9" x14ac:dyDescent="0.35">
      <c r="A772" s="34">
        <v>45456</v>
      </c>
      <c r="B772" s="34" t="str">
        <f t="shared" si="25"/>
        <v>June</v>
      </c>
      <c r="C772" s="4" t="str">
        <f t="shared" si="24"/>
        <v>Thursday</v>
      </c>
      <c r="D772" s="5">
        <v>45456.414716643521</v>
      </c>
      <c r="E772" s="6" t="str" cm="1">
        <f t="array" ref="E772">_xlfn.IFS(HOUR(D772)&gt;=20,"20-24 ",HOUR(D772)&gt;=16,"16-20",HOUR(D772)&gt;=12,"12-16",HOUR(D772)&lt;12,"7-12")</f>
        <v>7-12</v>
      </c>
      <c r="F772" s="6" t="s">
        <v>3</v>
      </c>
      <c r="G772" s="6" t="s">
        <v>155</v>
      </c>
      <c r="H772" s="6">
        <v>27.92</v>
      </c>
      <c r="I772" s="6" t="s">
        <v>28</v>
      </c>
    </row>
    <row r="773" spans="1:9" x14ac:dyDescent="0.35">
      <c r="A773" s="34">
        <v>45456</v>
      </c>
      <c r="B773" s="34" t="str">
        <f t="shared" si="25"/>
        <v>June</v>
      </c>
      <c r="C773" s="4" t="str">
        <f t="shared" si="24"/>
        <v>Thursday</v>
      </c>
      <c r="D773" s="5">
        <v>45456.711789363428</v>
      </c>
      <c r="E773" s="6" t="str" cm="1">
        <f t="array" ref="E773">_xlfn.IFS(HOUR(D773)&gt;=20,"20-24 ",HOUR(D773)&gt;=16,"16-20",HOUR(D773)&gt;=12,"12-16",HOUR(D773)&lt;12,"7-12")</f>
        <v>16-20</v>
      </c>
      <c r="F773" s="6" t="s">
        <v>3</v>
      </c>
      <c r="G773" s="6" t="s">
        <v>308</v>
      </c>
      <c r="H773" s="6">
        <v>32.82</v>
      </c>
      <c r="I773" s="6" t="s">
        <v>14</v>
      </c>
    </row>
    <row r="774" spans="1:9" x14ac:dyDescent="0.35">
      <c r="A774" s="34">
        <v>45456</v>
      </c>
      <c r="B774" s="34" t="str">
        <f t="shared" si="25"/>
        <v>June</v>
      </c>
      <c r="C774" s="4" t="str">
        <f t="shared" si="24"/>
        <v>Thursday</v>
      </c>
      <c r="D774" s="5">
        <v>45456.727622986109</v>
      </c>
      <c r="E774" s="6" t="str" cm="1">
        <f t="array" ref="E774">_xlfn.IFS(HOUR(D774)&gt;=20,"20-24 ",HOUR(D774)&gt;=16,"16-20",HOUR(D774)&gt;=12,"12-16",HOUR(D774)&lt;12,"7-12")</f>
        <v>16-20</v>
      </c>
      <c r="F774" s="6" t="s">
        <v>3</v>
      </c>
      <c r="G774" s="6" t="s">
        <v>309</v>
      </c>
      <c r="H774" s="6">
        <v>37.72</v>
      </c>
      <c r="I774" s="6" t="s">
        <v>9</v>
      </c>
    </row>
    <row r="775" spans="1:9" x14ac:dyDescent="0.35">
      <c r="A775" s="34">
        <v>45456</v>
      </c>
      <c r="B775" s="34" t="str">
        <f t="shared" si="25"/>
        <v>June</v>
      </c>
      <c r="C775" s="4" t="str">
        <f t="shared" si="24"/>
        <v>Thursday</v>
      </c>
      <c r="D775" s="5">
        <v>45456.807165312501</v>
      </c>
      <c r="E775" s="6" t="str" cm="1">
        <f t="array" ref="E775">_xlfn.IFS(HOUR(D775)&gt;=20,"20-24 ",HOUR(D775)&gt;=16,"16-20",HOUR(D775)&gt;=12,"12-16",HOUR(D775)&lt;12,"7-12")</f>
        <v>16-20</v>
      </c>
      <c r="F775" s="6" t="s">
        <v>3</v>
      </c>
      <c r="G775" s="6" t="s">
        <v>310</v>
      </c>
      <c r="H775" s="6">
        <v>37.72</v>
      </c>
      <c r="I775" s="6" t="s">
        <v>7</v>
      </c>
    </row>
    <row r="776" spans="1:9" x14ac:dyDescent="0.35">
      <c r="A776" s="34">
        <v>45456</v>
      </c>
      <c r="B776" s="34" t="str">
        <f t="shared" si="25"/>
        <v>June</v>
      </c>
      <c r="C776" s="4" t="str">
        <f t="shared" si="24"/>
        <v>Thursday</v>
      </c>
      <c r="D776" s="5">
        <v>45456.847821319447</v>
      </c>
      <c r="E776" s="6" t="str" cm="1">
        <f t="array" ref="E776">_xlfn.IFS(HOUR(D776)&gt;=20,"20-24 ",HOUR(D776)&gt;=16,"16-20",HOUR(D776)&gt;=12,"12-16",HOUR(D776)&lt;12,"7-12")</f>
        <v xml:space="preserve">20-24 </v>
      </c>
      <c r="F776" s="6" t="s">
        <v>3</v>
      </c>
      <c r="G776" s="6" t="s">
        <v>23</v>
      </c>
      <c r="H776" s="6">
        <v>32.82</v>
      </c>
      <c r="I776" s="6" t="s">
        <v>14</v>
      </c>
    </row>
    <row r="777" spans="1:9" x14ac:dyDescent="0.35">
      <c r="A777" s="34">
        <v>45456</v>
      </c>
      <c r="B777" s="34" t="str">
        <f t="shared" si="25"/>
        <v>June</v>
      </c>
      <c r="C777" s="4" t="str">
        <f t="shared" si="24"/>
        <v>Thursday</v>
      </c>
      <c r="D777" s="5">
        <v>45456.863726747688</v>
      </c>
      <c r="E777" s="6" t="str" cm="1">
        <f t="array" ref="E777">_xlfn.IFS(HOUR(D777)&gt;=20,"20-24 ",HOUR(D777)&gt;=16,"16-20",HOUR(D777)&gt;=12,"12-16",HOUR(D777)&lt;12,"7-12")</f>
        <v xml:space="preserve">20-24 </v>
      </c>
      <c r="F777" s="6" t="s">
        <v>3</v>
      </c>
      <c r="G777" s="6" t="s">
        <v>23</v>
      </c>
      <c r="H777" s="6">
        <v>23.02</v>
      </c>
      <c r="I777" s="6" t="s">
        <v>35</v>
      </c>
    </row>
    <row r="778" spans="1:9" x14ac:dyDescent="0.35">
      <c r="A778" s="34">
        <v>45456</v>
      </c>
      <c r="B778" s="34" t="str">
        <f t="shared" si="25"/>
        <v>June</v>
      </c>
      <c r="C778" s="4" t="str">
        <f t="shared" si="24"/>
        <v>Thursday</v>
      </c>
      <c r="D778" s="5">
        <v>45456.864590451391</v>
      </c>
      <c r="E778" s="6" t="str" cm="1">
        <f t="array" ref="E778">_xlfn.IFS(HOUR(D778)&gt;=20,"20-24 ",HOUR(D778)&gt;=16,"16-20",HOUR(D778)&gt;=12,"12-16",HOUR(D778)&lt;12,"7-12")</f>
        <v xml:space="preserve">20-24 </v>
      </c>
      <c r="F778" s="6" t="s">
        <v>3</v>
      </c>
      <c r="G778" s="6" t="s">
        <v>309</v>
      </c>
      <c r="H778" s="6">
        <v>23.02</v>
      </c>
      <c r="I778" s="6" t="s">
        <v>35</v>
      </c>
    </row>
    <row r="779" spans="1:9" x14ac:dyDescent="0.35">
      <c r="A779" s="34">
        <v>45456</v>
      </c>
      <c r="B779" s="34" t="str">
        <f t="shared" si="25"/>
        <v>June</v>
      </c>
      <c r="C779" s="4" t="str">
        <f t="shared" si="24"/>
        <v>Thursday</v>
      </c>
      <c r="D779" s="5">
        <v>45456.866873865743</v>
      </c>
      <c r="E779" s="6" t="str" cm="1">
        <f t="array" ref="E779">_xlfn.IFS(HOUR(D779)&gt;=20,"20-24 ",HOUR(D779)&gt;=16,"16-20",HOUR(D779)&gt;=12,"12-16",HOUR(D779)&lt;12,"7-12")</f>
        <v xml:space="preserve">20-24 </v>
      </c>
      <c r="F779" s="6" t="s">
        <v>3</v>
      </c>
      <c r="G779" s="6" t="s">
        <v>19</v>
      </c>
      <c r="H779" s="6">
        <v>32.82</v>
      </c>
      <c r="I779" s="6" t="s">
        <v>14</v>
      </c>
    </row>
    <row r="780" spans="1:9" x14ac:dyDescent="0.35">
      <c r="A780" s="34">
        <v>45456</v>
      </c>
      <c r="B780" s="34" t="str">
        <f t="shared" si="25"/>
        <v>June</v>
      </c>
      <c r="C780" s="4" t="str">
        <f t="shared" si="24"/>
        <v>Thursday</v>
      </c>
      <c r="D780" s="5">
        <v>45456.876717326391</v>
      </c>
      <c r="E780" s="6" t="str" cm="1">
        <f t="array" ref="E780">_xlfn.IFS(HOUR(D780)&gt;=20,"20-24 ",HOUR(D780)&gt;=16,"16-20",HOUR(D780)&gt;=12,"12-16",HOUR(D780)&lt;12,"7-12")</f>
        <v xml:space="preserve">20-24 </v>
      </c>
      <c r="F780" s="6" t="s">
        <v>3</v>
      </c>
      <c r="G780" s="6" t="s">
        <v>19</v>
      </c>
      <c r="H780" s="6">
        <v>32.82</v>
      </c>
      <c r="I780" s="6" t="s">
        <v>14</v>
      </c>
    </row>
    <row r="781" spans="1:9" x14ac:dyDescent="0.35">
      <c r="A781" s="34">
        <v>45457</v>
      </c>
      <c r="B781" s="34" t="str">
        <f t="shared" si="25"/>
        <v>June</v>
      </c>
      <c r="C781" s="4" t="str">
        <f t="shared" si="24"/>
        <v>Friday</v>
      </c>
      <c r="D781" s="5">
        <v>45457.323764328707</v>
      </c>
      <c r="E781" s="6" t="str" cm="1">
        <f t="array" ref="E781">_xlfn.IFS(HOUR(D781)&gt;=20,"20-24 ",HOUR(D781)&gt;=16,"16-20",HOUR(D781)&gt;=12,"12-16",HOUR(D781)&lt;12,"7-12")</f>
        <v>7-12</v>
      </c>
      <c r="F781" s="6" t="s">
        <v>3</v>
      </c>
      <c r="G781" s="6" t="s">
        <v>155</v>
      </c>
      <c r="H781" s="6">
        <v>27.92</v>
      </c>
      <c r="I781" s="6" t="s">
        <v>28</v>
      </c>
    </row>
    <row r="782" spans="1:9" x14ac:dyDescent="0.35">
      <c r="A782" s="34">
        <v>45457</v>
      </c>
      <c r="B782" s="34" t="str">
        <f t="shared" si="25"/>
        <v>June</v>
      </c>
      <c r="C782" s="4" t="str">
        <f t="shared" si="24"/>
        <v>Friday</v>
      </c>
      <c r="D782" s="5">
        <v>45457.437865555556</v>
      </c>
      <c r="E782" s="6" t="str" cm="1">
        <f t="array" ref="E782">_xlfn.IFS(HOUR(D782)&gt;=20,"20-24 ",HOUR(D782)&gt;=16,"16-20",HOUR(D782)&gt;=12,"12-16",HOUR(D782)&lt;12,"7-12")</f>
        <v>7-12</v>
      </c>
      <c r="F782" s="6" t="s">
        <v>3</v>
      </c>
      <c r="G782" s="6" t="s">
        <v>311</v>
      </c>
      <c r="H782" s="6">
        <v>27.92</v>
      </c>
      <c r="I782" s="6" t="s">
        <v>11</v>
      </c>
    </row>
    <row r="783" spans="1:9" x14ac:dyDescent="0.35">
      <c r="A783" s="34">
        <v>45457</v>
      </c>
      <c r="B783" s="34" t="str">
        <f t="shared" si="25"/>
        <v>June</v>
      </c>
      <c r="C783" s="4" t="str">
        <f t="shared" si="24"/>
        <v>Friday</v>
      </c>
      <c r="D783" s="5">
        <v>45457.510204814818</v>
      </c>
      <c r="E783" s="6" t="str" cm="1">
        <f t="array" ref="E783">_xlfn.IFS(HOUR(D783)&gt;=20,"20-24 ",HOUR(D783)&gt;=16,"16-20",HOUR(D783)&gt;=12,"12-16",HOUR(D783)&lt;12,"7-12")</f>
        <v>12-16</v>
      </c>
      <c r="F783" s="6" t="s">
        <v>3</v>
      </c>
      <c r="G783" s="6" t="s">
        <v>111</v>
      </c>
      <c r="H783" s="6">
        <v>37.72</v>
      </c>
      <c r="I783" s="6" t="s">
        <v>7</v>
      </c>
    </row>
    <row r="784" spans="1:9" x14ac:dyDescent="0.35">
      <c r="A784" s="34">
        <v>45457</v>
      </c>
      <c r="B784" s="34" t="str">
        <f t="shared" si="25"/>
        <v>June</v>
      </c>
      <c r="C784" s="4" t="str">
        <f t="shared" si="24"/>
        <v>Friday</v>
      </c>
      <c r="D784" s="5">
        <v>45457.77075693287</v>
      </c>
      <c r="E784" s="6" t="str" cm="1">
        <f t="array" ref="E784">_xlfn.IFS(HOUR(D784)&gt;=20,"20-24 ",HOUR(D784)&gt;=16,"16-20",HOUR(D784)&gt;=12,"12-16",HOUR(D784)&lt;12,"7-12")</f>
        <v>16-20</v>
      </c>
      <c r="F784" s="6" t="s">
        <v>3</v>
      </c>
      <c r="G784" s="6" t="s">
        <v>312</v>
      </c>
      <c r="H784" s="6">
        <v>32.82</v>
      </c>
      <c r="I784" s="6" t="s">
        <v>14</v>
      </c>
    </row>
    <row r="785" spans="1:9" x14ac:dyDescent="0.35">
      <c r="A785" s="34">
        <v>45458</v>
      </c>
      <c r="B785" s="34" t="str">
        <f t="shared" si="25"/>
        <v>June</v>
      </c>
      <c r="C785" s="4" t="str">
        <f t="shared" si="24"/>
        <v>Saturday</v>
      </c>
      <c r="D785" s="5">
        <v>45458.476411736112</v>
      </c>
      <c r="E785" s="6" t="str" cm="1">
        <f t="array" ref="E785">_xlfn.IFS(HOUR(D785)&gt;=20,"20-24 ",HOUR(D785)&gt;=16,"16-20",HOUR(D785)&gt;=12,"12-16",HOUR(D785)&lt;12,"7-12")</f>
        <v>7-12</v>
      </c>
      <c r="F785" s="6" t="s">
        <v>3</v>
      </c>
      <c r="G785" s="6" t="s">
        <v>313</v>
      </c>
      <c r="H785" s="6">
        <v>37.72</v>
      </c>
      <c r="I785" s="6" t="s">
        <v>43</v>
      </c>
    </row>
    <row r="786" spans="1:9" x14ac:dyDescent="0.35">
      <c r="A786" s="34">
        <v>45458</v>
      </c>
      <c r="B786" s="34" t="str">
        <f t="shared" si="25"/>
        <v>June</v>
      </c>
      <c r="C786" s="4" t="str">
        <f t="shared" si="24"/>
        <v>Saturday</v>
      </c>
      <c r="D786" s="5">
        <v>45458.514908969904</v>
      </c>
      <c r="E786" s="6" t="str" cm="1">
        <f t="array" ref="E786">_xlfn.IFS(HOUR(D786)&gt;=20,"20-24 ",HOUR(D786)&gt;=16,"16-20",HOUR(D786)&gt;=12,"12-16",HOUR(D786)&lt;12,"7-12")</f>
        <v>12-16</v>
      </c>
      <c r="F786" s="6" t="s">
        <v>3</v>
      </c>
      <c r="G786" s="6" t="s">
        <v>314</v>
      </c>
      <c r="H786" s="6">
        <v>37.72</v>
      </c>
      <c r="I786" s="6" t="s">
        <v>7</v>
      </c>
    </row>
    <row r="787" spans="1:9" x14ac:dyDescent="0.35">
      <c r="A787" s="34">
        <v>45458</v>
      </c>
      <c r="B787" s="34" t="str">
        <f t="shared" si="25"/>
        <v>June</v>
      </c>
      <c r="C787" s="4" t="str">
        <f t="shared" si="24"/>
        <v>Saturday</v>
      </c>
      <c r="D787" s="5">
        <v>45458.51582108796</v>
      </c>
      <c r="E787" s="6" t="str" cm="1">
        <f t="array" ref="E787">_xlfn.IFS(HOUR(D787)&gt;=20,"20-24 ",HOUR(D787)&gt;=16,"16-20",HOUR(D787)&gt;=12,"12-16",HOUR(D787)&lt;12,"7-12")</f>
        <v>12-16</v>
      </c>
      <c r="F787" s="6" t="s">
        <v>3</v>
      </c>
      <c r="G787" s="6" t="s">
        <v>314</v>
      </c>
      <c r="H787" s="6">
        <v>32.82</v>
      </c>
      <c r="I787" s="6" t="s">
        <v>14</v>
      </c>
    </row>
    <row r="788" spans="1:9" x14ac:dyDescent="0.35">
      <c r="A788" s="34">
        <v>45458</v>
      </c>
      <c r="B788" s="34" t="str">
        <f t="shared" si="25"/>
        <v>June</v>
      </c>
      <c r="C788" s="4" t="str">
        <f t="shared" si="24"/>
        <v>Saturday</v>
      </c>
      <c r="D788" s="5">
        <v>45458.516575995367</v>
      </c>
      <c r="E788" s="6" t="str" cm="1">
        <f t="array" ref="E788">_xlfn.IFS(HOUR(D788)&gt;=20,"20-24 ",HOUR(D788)&gt;=16,"16-20",HOUR(D788)&gt;=12,"12-16",HOUR(D788)&lt;12,"7-12")</f>
        <v>12-16</v>
      </c>
      <c r="F788" s="6" t="s">
        <v>3</v>
      </c>
      <c r="G788" s="6" t="s">
        <v>314</v>
      </c>
      <c r="H788" s="6">
        <v>23.02</v>
      </c>
      <c r="I788" s="6" t="s">
        <v>35</v>
      </c>
    </row>
    <row r="789" spans="1:9" x14ac:dyDescent="0.35">
      <c r="A789" s="34">
        <v>45458</v>
      </c>
      <c r="B789" s="34" t="str">
        <f t="shared" si="25"/>
        <v>June</v>
      </c>
      <c r="C789" s="4" t="str">
        <f t="shared" si="24"/>
        <v>Saturday</v>
      </c>
      <c r="D789" s="5">
        <v>45458.517073263887</v>
      </c>
      <c r="E789" s="6" t="str" cm="1">
        <f t="array" ref="E789">_xlfn.IFS(HOUR(D789)&gt;=20,"20-24 ",HOUR(D789)&gt;=16,"16-20",HOUR(D789)&gt;=12,"12-16",HOUR(D789)&lt;12,"7-12")</f>
        <v>12-16</v>
      </c>
      <c r="F789" s="6" t="s">
        <v>3</v>
      </c>
      <c r="G789" s="6" t="s">
        <v>314</v>
      </c>
      <c r="H789" s="6">
        <v>37.72</v>
      </c>
      <c r="I789" s="6" t="s">
        <v>18</v>
      </c>
    </row>
    <row r="790" spans="1:9" x14ac:dyDescent="0.35">
      <c r="A790" s="34">
        <v>45458</v>
      </c>
      <c r="B790" s="34" t="str">
        <f t="shared" si="25"/>
        <v>June</v>
      </c>
      <c r="C790" s="4" t="str">
        <f t="shared" si="24"/>
        <v>Saturday</v>
      </c>
      <c r="D790" s="5">
        <v>45458.517638425925</v>
      </c>
      <c r="E790" s="6" t="str" cm="1">
        <f t="array" ref="E790">_xlfn.IFS(HOUR(D790)&gt;=20,"20-24 ",HOUR(D790)&gt;=16,"16-20",HOUR(D790)&gt;=12,"12-16",HOUR(D790)&lt;12,"7-12")</f>
        <v>12-16</v>
      </c>
      <c r="F790" s="6" t="s">
        <v>3</v>
      </c>
      <c r="G790" s="6" t="s">
        <v>314</v>
      </c>
      <c r="H790" s="6">
        <v>32.82</v>
      </c>
      <c r="I790" s="6" t="s">
        <v>14</v>
      </c>
    </row>
    <row r="791" spans="1:9" x14ac:dyDescent="0.35">
      <c r="A791" s="34">
        <v>45458</v>
      </c>
      <c r="B791" s="34" t="str">
        <f t="shared" si="25"/>
        <v>June</v>
      </c>
      <c r="C791" s="4" t="str">
        <f t="shared" si="24"/>
        <v>Saturday</v>
      </c>
      <c r="D791" s="5">
        <v>45458.669096168982</v>
      </c>
      <c r="E791" s="6" t="str" cm="1">
        <f t="array" ref="E791">_xlfn.IFS(HOUR(D791)&gt;=20,"20-24 ",HOUR(D791)&gt;=16,"16-20",HOUR(D791)&gt;=12,"12-16",HOUR(D791)&lt;12,"7-12")</f>
        <v>16-20</v>
      </c>
      <c r="F791" s="6" t="s">
        <v>3</v>
      </c>
      <c r="G791" s="6" t="s">
        <v>315</v>
      </c>
      <c r="H791" s="6">
        <v>32.82</v>
      </c>
      <c r="I791" s="6" t="s">
        <v>14</v>
      </c>
    </row>
    <row r="792" spans="1:9" x14ac:dyDescent="0.35">
      <c r="A792" s="34">
        <v>45458</v>
      </c>
      <c r="B792" s="34" t="str">
        <f t="shared" si="25"/>
        <v>June</v>
      </c>
      <c r="C792" s="4" t="str">
        <f t="shared" si="24"/>
        <v>Saturday</v>
      </c>
      <c r="D792" s="5">
        <v>45458.759775729166</v>
      </c>
      <c r="E792" s="6" t="str" cm="1">
        <f t="array" ref="E792">_xlfn.IFS(HOUR(D792)&gt;=20,"20-24 ",HOUR(D792)&gt;=16,"16-20",HOUR(D792)&gt;=12,"12-16",HOUR(D792)&lt;12,"7-12")</f>
        <v>16-20</v>
      </c>
      <c r="F792" s="6" t="s">
        <v>3</v>
      </c>
      <c r="G792" s="6" t="s">
        <v>316</v>
      </c>
      <c r="H792" s="6">
        <v>27.92</v>
      </c>
      <c r="I792" s="6" t="s">
        <v>11</v>
      </c>
    </row>
    <row r="793" spans="1:9" x14ac:dyDescent="0.35">
      <c r="A793" s="34">
        <v>45459</v>
      </c>
      <c r="B793" s="34" t="str">
        <f t="shared" si="25"/>
        <v>June</v>
      </c>
      <c r="C793" s="4" t="str">
        <f t="shared" si="24"/>
        <v>Sunday</v>
      </c>
      <c r="D793" s="5">
        <v>45459.447123333332</v>
      </c>
      <c r="E793" s="6" t="str" cm="1">
        <f t="array" ref="E793">_xlfn.IFS(HOUR(D793)&gt;=20,"20-24 ",HOUR(D793)&gt;=16,"16-20",HOUR(D793)&gt;=12,"12-16",HOUR(D793)&lt;12,"7-12")</f>
        <v>7-12</v>
      </c>
      <c r="F793" s="6" t="s">
        <v>3</v>
      </c>
      <c r="G793" s="6" t="s">
        <v>73</v>
      </c>
      <c r="H793" s="6">
        <v>32.82</v>
      </c>
      <c r="I793" s="6" t="s">
        <v>14</v>
      </c>
    </row>
    <row r="794" spans="1:9" x14ac:dyDescent="0.35">
      <c r="A794" s="34">
        <v>45459</v>
      </c>
      <c r="B794" s="34" t="str">
        <f t="shared" si="25"/>
        <v>June</v>
      </c>
      <c r="C794" s="4" t="str">
        <f t="shared" si="24"/>
        <v>Sunday</v>
      </c>
      <c r="D794" s="5">
        <v>45459.457423217595</v>
      </c>
      <c r="E794" s="6" t="str" cm="1">
        <f t="array" ref="E794">_xlfn.IFS(HOUR(D794)&gt;=20,"20-24 ",HOUR(D794)&gt;=16,"16-20",HOUR(D794)&gt;=12,"12-16",HOUR(D794)&lt;12,"7-12")</f>
        <v>7-12</v>
      </c>
      <c r="F794" s="6" t="s">
        <v>3</v>
      </c>
      <c r="G794" s="6" t="s">
        <v>317</v>
      </c>
      <c r="H794" s="6">
        <v>37.72</v>
      </c>
      <c r="I794" s="6" t="s">
        <v>7</v>
      </c>
    </row>
    <row r="795" spans="1:9" x14ac:dyDescent="0.35">
      <c r="A795" s="34">
        <v>45459</v>
      </c>
      <c r="B795" s="34" t="str">
        <f t="shared" si="25"/>
        <v>June</v>
      </c>
      <c r="C795" s="4" t="str">
        <f t="shared" si="24"/>
        <v>Sunday</v>
      </c>
      <c r="D795" s="5">
        <v>45459.458775358798</v>
      </c>
      <c r="E795" s="6" t="str" cm="1">
        <f t="array" ref="E795">_xlfn.IFS(HOUR(D795)&gt;=20,"20-24 ",HOUR(D795)&gt;=16,"16-20",HOUR(D795)&gt;=12,"12-16",HOUR(D795)&lt;12,"7-12")</f>
        <v>7-12</v>
      </c>
      <c r="F795" s="6" t="s">
        <v>3</v>
      </c>
      <c r="G795" s="6" t="s">
        <v>317</v>
      </c>
      <c r="H795" s="6">
        <v>37.72</v>
      </c>
      <c r="I795" s="6" t="s">
        <v>9</v>
      </c>
    </row>
    <row r="796" spans="1:9" x14ac:dyDescent="0.35">
      <c r="A796" s="34">
        <v>45459</v>
      </c>
      <c r="B796" s="34" t="str">
        <f t="shared" si="25"/>
        <v>June</v>
      </c>
      <c r="C796" s="4" t="str">
        <f t="shared" si="24"/>
        <v>Sunday</v>
      </c>
      <c r="D796" s="5">
        <v>45459.459507962965</v>
      </c>
      <c r="E796" s="6" t="str" cm="1">
        <f t="array" ref="E796">_xlfn.IFS(HOUR(D796)&gt;=20,"20-24 ",HOUR(D796)&gt;=16,"16-20",HOUR(D796)&gt;=12,"12-16",HOUR(D796)&lt;12,"7-12")</f>
        <v>7-12</v>
      </c>
      <c r="F796" s="6" t="s">
        <v>3</v>
      </c>
      <c r="G796" s="6" t="s">
        <v>317</v>
      </c>
      <c r="H796" s="6">
        <v>37.72</v>
      </c>
      <c r="I796" s="6" t="s">
        <v>9</v>
      </c>
    </row>
    <row r="797" spans="1:9" x14ac:dyDescent="0.35">
      <c r="A797" s="34">
        <v>45459</v>
      </c>
      <c r="B797" s="34" t="str">
        <f t="shared" si="25"/>
        <v>June</v>
      </c>
      <c r="C797" s="4" t="str">
        <f t="shared" si="24"/>
        <v>Sunday</v>
      </c>
      <c r="D797" s="5">
        <v>45459.534347499997</v>
      </c>
      <c r="E797" s="6" t="str" cm="1">
        <f t="array" ref="E797">_xlfn.IFS(HOUR(D797)&gt;=20,"20-24 ",HOUR(D797)&gt;=16,"16-20",HOUR(D797)&gt;=12,"12-16",HOUR(D797)&lt;12,"7-12")</f>
        <v>12-16</v>
      </c>
      <c r="F797" s="6" t="s">
        <v>3</v>
      </c>
      <c r="G797" s="6" t="s">
        <v>290</v>
      </c>
      <c r="H797" s="6">
        <v>32.82</v>
      </c>
      <c r="I797" s="6" t="s">
        <v>14</v>
      </c>
    </row>
    <row r="798" spans="1:9" x14ac:dyDescent="0.35">
      <c r="A798" s="34">
        <v>45459</v>
      </c>
      <c r="B798" s="34" t="str">
        <f t="shared" si="25"/>
        <v>June</v>
      </c>
      <c r="C798" s="4" t="str">
        <f t="shared" si="24"/>
        <v>Sunday</v>
      </c>
      <c r="D798" s="5">
        <v>45459.583784629627</v>
      </c>
      <c r="E798" s="6" t="str" cm="1">
        <f t="array" ref="E798">_xlfn.IFS(HOUR(D798)&gt;=20,"20-24 ",HOUR(D798)&gt;=16,"16-20",HOUR(D798)&gt;=12,"12-16",HOUR(D798)&lt;12,"7-12")</f>
        <v>12-16</v>
      </c>
      <c r="F798" s="6" t="s">
        <v>3</v>
      </c>
      <c r="G798" s="6" t="s">
        <v>288</v>
      </c>
      <c r="H798" s="6">
        <v>23.02</v>
      </c>
      <c r="I798" s="6" t="s">
        <v>35</v>
      </c>
    </row>
    <row r="799" spans="1:9" x14ac:dyDescent="0.35">
      <c r="A799" s="34">
        <v>45459</v>
      </c>
      <c r="B799" s="34" t="str">
        <f t="shared" si="25"/>
        <v>June</v>
      </c>
      <c r="C799" s="4" t="str">
        <f t="shared" si="24"/>
        <v>Sunday</v>
      </c>
      <c r="D799" s="5">
        <v>45459.626809398149</v>
      </c>
      <c r="E799" s="6" t="str" cm="1">
        <f t="array" ref="E799">_xlfn.IFS(HOUR(D799)&gt;=20,"20-24 ",HOUR(D799)&gt;=16,"16-20",HOUR(D799)&gt;=12,"12-16",HOUR(D799)&lt;12,"7-12")</f>
        <v>12-16</v>
      </c>
      <c r="F799" s="6" t="s">
        <v>3</v>
      </c>
      <c r="G799" s="6" t="s">
        <v>318</v>
      </c>
      <c r="H799" s="6">
        <v>32.82</v>
      </c>
      <c r="I799" s="6" t="s">
        <v>14</v>
      </c>
    </row>
    <row r="800" spans="1:9" x14ac:dyDescent="0.35">
      <c r="A800" s="34">
        <v>45459</v>
      </c>
      <c r="B800" s="34" t="str">
        <f t="shared" si="25"/>
        <v>June</v>
      </c>
      <c r="C800" s="4" t="str">
        <f t="shared" si="24"/>
        <v>Sunday</v>
      </c>
      <c r="D800" s="5">
        <v>45459.628592835645</v>
      </c>
      <c r="E800" s="6" t="str" cm="1">
        <f t="array" ref="E800">_xlfn.IFS(HOUR(D800)&gt;=20,"20-24 ",HOUR(D800)&gt;=16,"16-20",HOUR(D800)&gt;=12,"12-16",HOUR(D800)&lt;12,"7-12")</f>
        <v>12-16</v>
      </c>
      <c r="F800" s="6" t="s">
        <v>3</v>
      </c>
      <c r="G800" s="6" t="s">
        <v>318</v>
      </c>
      <c r="H800" s="6">
        <v>32.82</v>
      </c>
      <c r="I800" s="6" t="s">
        <v>14</v>
      </c>
    </row>
    <row r="801" spans="1:9" x14ac:dyDescent="0.35">
      <c r="A801" s="34">
        <v>45459</v>
      </c>
      <c r="B801" s="34" t="str">
        <f t="shared" si="25"/>
        <v>June</v>
      </c>
      <c r="C801" s="4" t="str">
        <f t="shared" si="24"/>
        <v>Sunday</v>
      </c>
      <c r="D801" s="5">
        <v>45459.655550844909</v>
      </c>
      <c r="E801" s="6" t="str" cm="1">
        <f t="array" ref="E801">_xlfn.IFS(HOUR(D801)&gt;=20,"20-24 ",HOUR(D801)&gt;=16,"16-20",HOUR(D801)&gt;=12,"12-16",HOUR(D801)&lt;12,"7-12")</f>
        <v>12-16</v>
      </c>
      <c r="F801" s="6" t="s">
        <v>3</v>
      </c>
      <c r="G801" s="6" t="s">
        <v>319</v>
      </c>
      <c r="H801" s="6">
        <v>37.72</v>
      </c>
      <c r="I801" s="6" t="s">
        <v>9</v>
      </c>
    </row>
    <row r="802" spans="1:9" x14ac:dyDescent="0.35">
      <c r="A802" s="34">
        <v>45459</v>
      </c>
      <c r="B802" s="34" t="str">
        <f t="shared" si="25"/>
        <v>June</v>
      </c>
      <c r="C802" s="4" t="str">
        <f t="shared" si="24"/>
        <v>Sunday</v>
      </c>
      <c r="D802" s="5">
        <v>45459.699728252315</v>
      </c>
      <c r="E802" s="6" t="str" cm="1">
        <f t="array" ref="E802">_xlfn.IFS(HOUR(D802)&gt;=20,"20-24 ",HOUR(D802)&gt;=16,"16-20",HOUR(D802)&gt;=12,"12-16",HOUR(D802)&lt;12,"7-12")</f>
        <v>16-20</v>
      </c>
      <c r="F802" s="6" t="s">
        <v>3</v>
      </c>
      <c r="G802" s="6" t="s">
        <v>320</v>
      </c>
      <c r="H802" s="6">
        <v>37.72</v>
      </c>
      <c r="I802" s="6" t="s">
        <v>9</v>
      </c>
    </row>
    <row r="803" spans="1:9" x14ac:dyDescent="0.35">
      <c r="A803" s="34">
        <v>45459</v>
      </c>
      <c r="B803" s="34" t="str">
        <f t="shared" si="25"/>
        <v>June</v>
      </c>
      <c r="C803" s="4" t="str">
        <f t="shared" si="24"/>
        <v>Sunday</v>
      </c>
      <c r="D803" s="5">
        <v>45459.739783182871</v>
      </c>
      <c r="E803" s="6" t="str" cm="1">
        <f t="array" ref="E803">_xlfn.IFS(HOUR(D803)&gt;=20,"20-24 ",HOUR(D803)&gt;=16,"16-20",HOUR(D803)&gt;=12,"12-16",HOUR(D803)&lt;12,"7-12")</f>
        <v>16-20</v>
      </c>
      <c r="F803" s="6" t="s">
        <v>3</v>
      </c>
      <c r="G803" s="6" t="s">
        <v>73</v>
      </c>
      <c r="H803" s="6">
        <v>32.82</v>
      </c>
      <c r="I803" s="6" t="s">
        <v>14</v>
      </c>
    </row>
    <row r="804" spans="1:9" x14ac:dyDescent="0.35">
      <c r="A804" s="34">
        <v>45459</v>
      </c>
      <c r="B804" s="34" t="str">
        <f t="shared" si="25"/>
        <v>June</v>
      </c>
      <c r="C804" s="4" t="str">
        <f t="shared" si="24"/>
        <v>Sunday</v>
      </c>
      <c r="D804" s="5">
        <v>45459.740469375</v>
      </c>
      <c r="E804" s="6" t="str" cm="1">
        <f t="array" ref="E804">_xlfn.IFS(HOUR(D804)&gt;=20,"20-24 ",HOUR(D804)&gt;=16,"16-20",HOUR(D804)&gt;=12,"12-16",HOUR(D804)&lt;12,"7-12")</f>
        <v>16-20</v>
      </c>
      <c r="F804" s="6" t="s">
        <v>3</v>
      </c>
      <c r="G804" s="6" t="s">
        <v>73</v>
      </c>
      <c r="H804" s="6">
        <v>32.82</v>
      </c>
      <c r="I804" s="6" t="s">
        <v>14</v>
      </c>
    </row>
    <row r="805" spans="1:9" x14ac:dyDescent="0.35">
      <c r="A805" s="34">
        <v>45460</v>
      </c>
      <c r="B805" s="34" t="str">
        <f t="shared" si="25"/>
        <v>June</v>
      </c>
      <c r="C805" s="4" t="str">
        <f t="shared" si="24"/>
        <v>Monday</v>
      </c>
      <c r="D805" s="5">
        <v>45460.373194953703</v>
      </c>
      <c r="E805" s="6" t="str" cm="1">
        <f t="array" ref="E805">_xlfn.IFS(HOUR(D805)&gt;=20,"20-24 ",HOUR(D805)&gt;=16,"16-20",HOUR(D805)&gt;=12,"12-16",HOUR(D805)&lt;12,"7-12")</f>
        <v>7-12</v>
      </c>
      <c r="F805" s="6" t="s">
        <v>3</v>
      </c>
      <c r="G805" s="6" t="s">
        <v>321</v>
      </c>
      <c r="H805" s="6">
        <v>27.92</v>
      </c>
      <c r="I805" s="6" t="s">
        <v>11</v>
      </c>
    </row>
    <row r="806" spans="1:9" x14ac:dyDescent="0.35">
      <c r="A806" s="34">
        <v>45460</v>
      </c>
      <c r="B806" s="34" t="str">
        <f t="shared" si="25"/>
        <v>June</v>
      </c>
      <c r="C806" s="4" t="str">
        <f t="shared" si="24"/>
        <v>Monday</v>
      </c>
      <c r="D806" s="5">
        <v>45460.425059479167</v>
      </c>
      <c r="E806" s="6" t="str" cm="1">
        <f t="array" ref="E806">_xlfn.IFS(HOUR(D806)&gt;=20,"20-24 ",HOUR(D806)&gt;=16,"16-20",HOUR(D806)&gt;=12,"12-16",HOUR(D806)&lt;12,"7-12")</f>
        <v>7-12</v>
      </c>
      <c r="F806" s="6" t="s">
        <v>3</v>
      </c>
      <c r="G806" s="6" t="s">
        <v>322</v>
      </c>
      <c r="H806" s="6">
        <v>27.92</v>
      </c>
      <c r="I806" s="6" t="s">
        <v>28</v>
      </c>
    </row>
    <row r="807" spans="1:9" x14ac:dyDescent="0.35">
      <c r="A807" s="34">
        <v>45460</v>
      </c>
      <c r="B807" s="34" t="str">
        <f t="shared" si="25"/>
        <v>June</v>
      </c>
      <c r="C807" s="4" t="str">
        <f t="shared" si="24"/>
        <v>Monday</v>
      </c>
      <c r="D807" s="5">
        <v>45460.426129340274</v>
      </c>
      <c r="E807" s="6" t="str" cm="1">
        <f t="array" ref="E807">_xlfn.IFS(HOUR(D807)&gt;=20,"20-24 ",HOUR(D807)&gt;=16,"16-20",HOUR(D807)&gt;=12,"12-16",HOUR(D807)&lt;12,"7-12")</f>
        <v>7-12</v>
      </c>
      <c r="F807" s="6" t="s">
        <v>3</v>
      </c>
      <c r="G807" s="6" t="s">
        <v>322</v>
      </c>
      <c r="H807" s="6">
        <v>27.92</v>
      </c>
      <c r="I807" s="6" t="s">
        <v>28</v>
      </c>
    </row>
    <row r="808" spans="1:9" x14ac:dyDescent="0.35">
      <c r="A808" s="34">
        <v>45460</v>
      </c>
      <c r="B808" s="34" t="str">
        <f t="shared" si="25"/>
        <v>June</v>
      </c>
      <c r="C808" s="4" t="str">
        <f t="shared" si="24"/>
        <v>Monday</v>
      </c>
      <c r="D808" s="5">
        <v>45460.455458425924</v>
      </c>
      <c r="E808" s="6" t="str" cm="1">
        <f t="array" ref="E808">_xlfn.IFS(HOUR(D808)&gt;=20,"20-24 ",HOUR(D808)&gt;=16,"16-20",HOUR(D808)&gt;=12,"12-16",HOUR(D808)&lt;12,"7-12")</f>
        <v>7-12</v>
      </c>
      <c r="F808" s="6" t="s">
        <v>3</v>
      </c>
      <c r="G808" s="6" t="s">
        <v>56</v>
      </c>
      <c r="H808" s="6">
        <v>37.72</v>
      </c>
      <c r="I808" s="6" t="s">
        <v>43</v>
      </c>
    </row>
    <row r="809" spans="1:9" x14ac:dyDescent="0.35">
      <c r="A809" s="34">
        <v>45460</v>
      </c>
      <c r="B809" s="34" t="str">
        <f t="shared" si="25"/>
        <v>June</v>
      </c>
      <c r="C809" s="4" t="str">
        <f t="shared" si="24"/>
        <v>Monday</v>
      </c>
      <c r="D809" s="5">
        <v>45460.619159502312</v>
      </c>
      <c r="E809" s="6" t="str" cm="1">
        <f t="array" ref="E809">_xlfn.IFS(HOUR(D809)&gt;=20,"20-24 ",HOUR(D809)&gt;=16,"16-20",HOUR(D809)&gt;=12,"12-16",HOUR(D809)&lt;12,"7-12")</f>
        <v>12-16</v>
      </c>
      <c r="F809" s="6" t="s">
        <v>3</v>
      </c>
      <c r="G809" s="6" t="s">
        <v>178</v>
      </c>
      <c r="H809" s="6">
        <v>37.72</v>
      </c>
      <c r="I809" s="6" t="s">
        <v>43</v>
      </c>
    </row>
    <row r="810" spans="1:9" x14ac:dyDescent="0.35">
      <c r="A810" s="34">
        <v>45460</v>
      </c>
      <c r="B810" s="34" t="str">
        <f t="shared" si="25"/>
        <v>June</v>
      </c>
      <c r="C810" s="4" t="str">
        <f t="shared" si="24"/>
        <v>Monday</v>
      </c>
      <c r="D810" s="5">
        <v>45460.701544456017</v>
      </c>
      <c r="E810" s="6" t="str" cm="1">
        <f t="array" ref="E810">_xlfn.IFS(HOUR(D810)&gt;=20,"20-24 ",HOUR(D810)&gt;=16,"16-20",HOUR(D810)&gt;=12,"12-16",HOUR(D810)&lt;12,"7-12")</f>
        <v>16-20</v>
      </c>
      <c r="F810" s="6" t="s">
        <v>3</v>
      </c>
      <c r="G810" s="6" t="s">
        <v>23</v>
      </c>
      <c r="H810" s="6">
        <v>37.72</v>
      </c>
      <c r="I810" s="6" t="s">
        <v>43</v>
      </c>
    </row>
    <row r="811" spans="1:9" x14ac:dyDescent="0.35">
      <c r="A811" s="34">
        <v>45460</v>
      </c>
      <c r="B811" s="34" t="str">
        <f t="shared" si="25"/>
        <v>June</v>
      </c>
      <c r="C811" s="4" t="str">
        <f t="shared" si="24"/>
        <v>Monday</v>
      </c>
      <c r="D811" s="5">
        <v>45460.702211087962</v>
      </c>
      <c r="E811" s="6" t="str" cm="1">
        <f t="array" ref="E811">_xlfn.IFS(HOUR(D811)&gt;=20,"20-24 ",HOUR(D811)&gt;=16,"16-20",HOUR(D811)&gt;=12,"12-16",HOUR(D811)&lt;12,"7-12")</f>
        <v>16-20</v>
      </c>
      <c r="F811" s="6" t="s">
        <v>3</v>
      </c>
      <c r="G811" s="6" t="s">
        <v>23</v>
      </c>
      <c r="H811" s="6">
        <v>37.72</v>
      </c>
      <c r="I811" s="6" t="s">
        <v>43</v>
      </c>
    </row>
    <row r="812" spans="1:9" x14ac:dyDescent="0.35">
      <c r="A812" s="34">
        <v>45460</v>
      </c>
      <c r="B812" s="34" t="str">
        <f t="shared" si="25"/>
        <v>June</v>
      </c>
      <c r="C812" s="4" t="str">
        <f t="shared" si="24"/>
        <v>Monday</v>
      </c>
      <c r="D812" s="5">
        <v>45460.703198333336</v>
      </c>
      <c r="E812" s="6" t="str" cm="1">
        <f t="array" ref="E812">_xlfn.IFS(HOUR(D812)&gt;=20,"20-24 ",HOUR(D812)&gt;=16,"16-20",HOUR(D812)&gt;=12,"12-16",HOUR(D812)&lt;12,"7-12")</f>
        <v>16-20</v>
      </c>
      <c r="F812" s="6" t="s">
        <v>3</v>
      </c>
      <c r="G812" s="6" t="s">
        <v>23</v>
      </c>
      <c r="H812" s="6">
        <v>27.92</v>
      </c>
      <c r="I812" s="6" t="s">
        <v>11</v>
      </c>
    </row>
    <row r="813" spans="1:9" x14ac:dyDescent="0.35">
      <c r="A813" s="34">
        <v>45460</v>
      </c>
      <c r="B813" s="34" t="str">
        <f t="shared" si="25"/>
        <v>June</v>
      </c>
      <c r="C813" s="4" t="str">
        <f t="shared" si="24"/>
        <v>Monday</v>
      </c>
      <c r="D813" s="5">
        <v>45460.785643877316</v>
      </c>
      <c r="E813" s="6" t="str" cm="1">
        <f t="array" ref="E813">_xlfn.IFS(HOUR(D813)&gt;=20,"20-24 ",HOUR(D813)&gt;=16,"16-20",HOUR(D813)&gt;=12,"12-16",HOUR(D813)&lt;12,"7-12")</f>
        <v>16-20</v>
      </c>
      <c r="F813" s="6" t="s">
        <v>3</v>
      </c>
      <c r="G813" s="6" t="s">
        <v>323</v>
      </c>
      <c r="H813" s="6">
        <v>27.92</v>
      </c>
      <c r="I813" s="6" t="s">
        <v>11</v>
      </c>
    </row>
    <row r="814" spans="1:9" x14ac:dyDescent="0.35">
      <c r="A814" s="34">
        <v>45460</v>
      </c>
      <c r="B814" s="34" t="str">
        <f t="shared" si="25"/>
        <v>June</v>
      </c>
      <c r="C814" s="4" t="str">
        <f t="shared" si="24"/>
        <v>Monday</v>
      </c>
      <c r="D814" s="5">
        <v>45460.88624403935</v>
      </c>
      <c r="E814" s="6" t="str" cm="1">
        <f t="array" ref="E814">_xlfn.IFS(HOUR(D814)&gt;=20,"20-24 ",HOUR(D814)&gt;=16,"16-20",HOUR(D814)&gt;=12,"12-16",HOUR(D814)&lt;12,"7-12")</f>
        <v xml:space="preserve">20-24 </v>
      </c>
      <c r="F814" s="6" t="s">
        <v>3</v>
      </c>
      <c r="G814" s="6" t="s">
        <v>19</v>
      </c>
      <c r="H814" s="6">
        <v>32.82</v>
      </c>
      <c r="I814" s="6" t="s">
        <v>14</v>
      </c>
    </row>
    <row r="815" spans="1:9" x14ac:dyDescent="0.35">
      <c r="A815" s="34">
        <v>45461</v>
      </c>
      <c r="B815" s="34" t="str">
        <f t="shared" si="25"/>
        <v>June</v>
      </c>
      <c r="C815" s="4" t="str">
        <f t="shared" si="24"/>
        <v>Tuesday</v>
      </c>
      <c r="D815" s="5">
        <v>45461.586182002313</v>
      </c>
      <c r="E815" s="6" t="str" cm="1">
        <f t="array" ref="E815">_xlfn.IFS(HOUR(D815)&gt;=20,"20-24 ",HOUR(D815)&gt;=16,"16-20",HOUR(D815)&gt;=12,"12-16",HOUR(D815)&lt;12,"7-12")</f>
        <v>12-16</v>
      </c>
      <c r="F815" s="6" t="s">
        <v>3</v>
      </c>
      <c r="G815" s="6" t="s">
        <v>313</v>
      </c>
      <c r="H815" s="6">
        <v>27.92</v>
      </c>
      <c r="I815" s="6" t="s">
        <v>11</v>
      </c>
    </row>
    <row r="816" spans="1:9" x14ac:dyDescent="0.35">
      <c r="A816" s="34">
        <v>45461</v>
      </c>
      <c r="B816" s="34" t="str">
        <f t="shared" si="25"/>
        <v>June</v>
      </c>
      <c r="C816" s="4" t="str">
        <f t="shared" si="24"/>
        <v>Tuesday</v>
      </c>
      <c r="D816" s="5">
        <v>45461.586948067132</v>
      </c>
      <c r="E816" s="6" t="str" cm="1">
        <f t="array" ref="E816">_xlfn.IFS(HOUR(D816)&gt;=20,"20-24 ",HOUR(D816)&gt;=16,"16-20",HOUR(D816)&gt;=12,"12-16",HOUR(D816)&lt;12,"7-12")</f>
        <v>12-16</v>
      </c>
      <c r="F816" s="6" t="s">
        <v>3</v>
      </c>
      <c r="G816" s="6" t="s">
        <v>313</v>
      </c>
      <c r="H816" s="6">
        <v>37.72</v>
      </c>
      <c r="I816" s="6" t="s">
        <v>43</v>
      </c>
    </row>
    <row r="817" spans="1:9" x14ac:dyDescent="0.35">
      <c r="A817" s="34">
        <v>45461</v>
      </c>
      <c r="B817" s="34" t="str">
        <f t="shared" si="25"/>
        <v>June</v>
      </c>
      <c r="C817" s="4" t="str">
        <f t="shared" si="24"/>
        <v>Tuesday</v>
      </c>
      <c r="D817" s="5">
        <v>45461.806025127313</v>
      </c>
      <c r="E817" s="6" t="str" cm="1">
        <f t="array" ref="E817">_xlfn.IFS(HOUR(D817)&gt;=20,"20-24 ",HOUR(D817)&gt;=16,"16-20",HOUR(D817)&gt;=12,"12-16",HOUR(D817)&lt;12,"7-12")</f>
        <v>16-20</v>
      </c>
      <c r="F817" s="6" t="s">
        <v>3</v>
      </c>
      <c r="G817" s="6" t="s">
        <v>168</v>
      </c>
      <c r="H817" s="6">
        <v>37.72</v>
      </c>
      <c r="I817" s="6" t="s">
        <v>43</v>
      </c>
    </row>
    <row r="818" spans="1:9" x14ac:dyDescent="0.35">
      <c r="A818" s="34">
        <v>45461</v>
      </c>
      <c r="B818" s="34" t="str">
        <f t="shared" si="25"/>
        <v>June</v>
      </c>
      <c r="C818" s="4" t="str">
        <f t="shared" si="24"/>
        <v>Tuesday</v>
      </c>
      <c r="D818" s="5">
        <v>45461.806700138892</v>
      </c>
      <c r="E818" s="6" t="str" cm="1">
        <f t="array" ref="E818">_xlfn.IFS(HOUR(D818)&gt;=20,"20-24 ",HOUR(D818)&gt;=16,"16-20",HOUR(D818)&gt;=12,"12-16",HOUR(D818)&lt;12,"7-12")</f>
        <v>16-20</v>
      </c>
      <c r="F818" s="6" t="s">
        <v>3</v>
      </c>
      <c r="G818" s="6" t="s">
        <v>168</v>
      </c>
      <c r="H818" s="6">
        <v>37.72</v>
      </c>
      <c r="I818" s="6" t="s">
        <v>43</v>
      </c>
    </row>
    <row r="819" spans="1:9" x14ac:dyDescent="0.35">
      <c r="A819" s="34">
        <v>45461</v>
      </c>
      <c r="B819" s="34" t="str">
        <f t="shared" si="25"/>
        <v>June</v>
      </c>
      <c r="C819" s="4" t="str">
        <f t="shared" si="24"/>
        <v>Tuesday</v>
      </c>
      <c r="D819" s="5">
        <v>45461.858211770836</v>
      </c>
      <c r="E819" s="6" t="str" cm="1">
        <f t="array" ref="E819">_xlfn.IFS(HOUR(D819)&gt;=20,"20-24 ",HOUR(D819)&gt;=16,"16-20",HOUR(D819)&gt;=12,"12-16",HOUR(D819)&lt;12,"7-12")</f>
        <v xml:space="preserve">20-24 </v>
      </c>
      <c r="F819" s="6" t="s">
        <v>3</v>
      </c>
      <c r="G819" s="6" t="s">
        <v>324</v>
      </c>
      <c r="H819" s="6">
        <v>27.92</v>
      </c>
      <c r="I819" s="6" t="s">
        <v>28</v>
      </c>
    </row>
    <row r="820" spans="1:9" x14ac:dyDescent="0.35">
      <c r="A820" s="34">
        <v>45461</v>
      </c>
      <c r="B820" s="34" t="str">
        <f t="shared" si="25"/>
        <v>June</v>
      </c>
      <c r="C820" s="4" t="str">
        <f t="shared" si="24"/>
        <v>Tuesday</v>
      </c>
      <c r="D820" s="5">
        <v>45461.889462106483</v>
      </c>
      <c r="E820" s="6" t="str" cm="1">
        <f t="array" ref="E820">_xlfn.IFS(HOUR(D820)&gt;=20,"20-24 ",HOUR(D820)&gt;=16,"16-20",HOUR(D820)&gt;=12,"12-16",HOUR(D820)&lt;12,"7-12")</f>
        <v xml:space="preserve">20-24 </v>
      </c>
      <c r="F820" s="6" t="s">
        <v>3</v>
      </c>
      <c r="G820" s="6" t="s">
        <v>23</v>
      </c>
      <c r="H820" s="6">
        <v>32.82</v>
      </c>
      <c r="I820" s="6" t="s">
        <v>14</v>
      </c>
    </row>
    <row r="821" spans="1:9" x14ac:dyDescent="0.35">
      <c r="A821" s="34">
        <v>45461</v>
      </c>
      <c r="B821" s="34" t="str">
        <f t="shared" si="25"/>
        <v>June</v>
      </c>
      <c r="C821" s="4" t="str">
        <f t="shared" si="24"/>
        <v>Tuesday</v>
      </c>
      <c r="D821" s="5">
        <v>45461.890492106482</v>
      </c>
      <c r="E821" s="6" t="str" cm="1">
        <f t="array" ref="E821">_xlfn.IFS(HOUR(D821)&gt;=20,"20-24 ",HOUR(D821)&gt;=16,"16-20",HOUR(D821)&gt;=12,"12-16",HOUR(D821)&lt;12,"7-12")</f>
        <v xml:space="preserve">20-24 </v>
      </c>
      <c r="F821" s="6" t="s">
        <v>3</v>
      </c>
      <c r="G821" s="6" t="s">
        <v>23</v>
      </c>
      <c r="H821" s="6">
        <v>32.82</v>
      </c>
      <c r="I821" s="6" t="s">
        <v>14</v>
      </c>
    </row>
    <row r="822" spans="1:9" x14ac:dyDescent="0.35">
      <c r="A822" s="34">
        <v>45462</v>
      </c>
      <c r="B822" s="34" t="str">
        <f t="shared" si="25"/>
        <v>June</v>
      </c>
      <c r="C822" s="4" t="str">
        <f t="shared" si="24"/>
        <v>Wednesday</v>
      </c>
      <c r="D822" s="5">
        <v>45462.32453510417</v>
      </c>
      <c r="E822" s="6" t="str" cm="1">
        <f t="array" ref="E822">_xlfn.IFS(HOUR(D822)&gt;=20,"20-24 ",HOUR(D822)&gt;=16,"16-20",HOUR(D822)&gt;=12,"12-16",HOUR(D822)&lt;12,"7-12")</f>
        <v>7-12</v>
      </c>
      <c r="F822" s="6" t="s">
        <v>3</v>
      </c>
      <c r="G822" s="6" t="s">
        <v>325</v>
      </c>
      <c r="H822" s="6">
        <v>37.72</v>
      </c>
      <c r="I822" s="6" t="s">
        <v>7</v>
      </c>
    </row>
    <row r="823" spans="1:9" x14ac:dyDescent="0.35">
      <c r="A823" s="34">
        <v>45462</v>
      </c>
      <c r="B823" s="34" t="str">
        <f t="shared" si="25"/>
        <v>June</v>
      </c>
      <c r="C823" s="4" t="str">
        <f t="shared" si="24"/>
        <v>Wednesday</v>
      </c>
      <c r="D823" s="5">
        <v>45462.345769768515</v>
      </c>
      <c r="E823" s="6" t="str" cm="1">
        <f t="array" ref="E823">_xlfn.IFS(HOUR(D823)&gt;=20,"20-24 ",HOUR(D823)&gt;=16,"16-20",HOUR(D823)&gt;=12,"12-16",HOUR(D823)&lt;12,"7-12")</f>
        <v>7-12</v>
      </c>
      <c r="F823" s="6" t="s">
        <v>3</v>
      </c>
      <c r="G823" s="6" t="s">
        <v>155</v>
      </c>
      <c r="H823" s="6">
        <v>27.92</v>
      </c>
      <c r="I823" s="6" t="s">
        <v>28</v>
      </c>
    </row>
    <row r="824" spans="1:9" x14ac:dyDescent="0.35">
      <c r="A824" s="34">
        <v>45462</v>
      </c>
      <c r="B824" s="34" t="str">
        <f t="shared" si="25"/>
        <v>June</v>
      </c>
      <c r="C824" s="4" t="str">
        <f t="shared" si="24"/>
        <v>Wednesday</v>
      </c>
      <c r="D824" s="5">
        <v>45462.454172361111</v>
      </c>
      <c r="E824" s="6" t="str" cm="1">
        <f t="array" ref="E824">_xlfn.IFS(HOUR(D824)&gt;=20,"20-24 ",HOUR(D824)&gt;=16,"16-20",HOUR(D824)&gt;=12,"12-16",HOUR(D824)&lt;12,"7-12")</f>
        <v>7-12</v>
      </c>
      <c r="F824" s="6" t="s">
        <v>3</v>
      </c>
      <c r="G824" s="6" t="s">
        <v>326</v>
      </c>
      <c r="H824" s="6">
        <v>27.92</v>
      </c>
      <c r="I824" s="6" t="s">
        <v>11</v>
      </c>
    </row>
    <row r="825" spans="1:9" x14ac:dyDescent="0.35">
      <c r="A825" s="34">
        <v>45462</v>
      </c>
      <c r="B825" s="34" t="str">
        <f t="shared" si="25"/>
        <v>June</v>
      </c>
      <c r="C825" s="4" t="str">
        <f t="shared" si="24"/>
        <v>Wednesday</v>
      </c>
      <c r="D825" s="5">
        <v>45462.466294062498</v>
      </c>
      <c r="E825" s="6" t="str" cm="1">
        <f t="array" ref="E825">_xlfn.IFS(HOUR(D825)&gt;=20,"20-24 ",HOUR(D825)&gt;=16,"16-20",HOUR(D825)&gt;=12,"12-16",HOUR(D825)&lt;12,"7-12")</f>
        <v>7-12</v>
      </c>
      <c r="F825" s="6" t="s">
        <v>3</v>
      </c>
      <c r="G825" s="6" t="s">
        <v>327</v>
      </c>
      <c r="H825" s="6">
        <v>37.72</v>
      </c>
      <c r="I825" s="6" t="s">
        <v>7</v>
      </c>
    </row>
    <row r="826" spans="1:9" x14ac:dyDescent="0.35">
      <c r="A826" s="34">
        <v>45462</v>
      </c>
      <c r="B826" s="34" t="str">
        <f t="shared" si="25"/>
        <v>June</v>
      </c>
      <c r="C826" s="4" t="str">
        <f t="shared" si="24"/>
        <v>Wednesday</v>
      </c>
      <c r="D826" s="5">
        <v>45462.467030231484</v>
      </c>
      <c r="E826" s="6" t="str" cm="1">
        <f t="array" ref="E826">_xlfn.IFS(HOUR(D826)&gt;=20,"20-24 ",HOUR(D826)&gt;=16,"16-20",HOUR(D826)&gt;=12,"12-16",HOUR(D826)&lt;12,"7-12")</f>
        <v>7-12</v>
      </c>
      <c r="F826" s="6" t="s">
        <v>3</v>
      </c>
      <c r="G826" s="6" t="s">
        <v>327</v>
      </c>
      <c r="H826" s="6">
        <v>37.72</v>
      </c>
      <c r="I826" s="6" t="s">
        <v>18</v>
      </c>
    </row>
    <row r="827" spans="1:9" x14ac:dyDescent="0.35">
      <c r="A827" s="34">
        <v>45462</v>
      </c>
      <c r="B827" s="34" t="str">
        <f t="shared" si="25"/>
        <v>June</v>
      </c>
      <c r="C827" s="4" t="str">
        <f t="shared" si="24"/>
        <v>Wednesday</v>
      </c>
      <c r="D827" s="5">
        <v>45462.598336319446</v>
      </c>
      <c r="E827" s="6" t="str" cm="1">
        <f t="array" ref="E827">_xlfn.IFS(HOUR(D827)&gt;=20,"20-24 ",HOUR(D827)&gt;=16,"16-20",HOUR(D827)&gt;=12,"12-16",HOUR(D827)&lt;12,"7-12")</f>
        <v>12-16</v>
      </c>
      <c r="F827" s="6" t="s">
        <v>3</v>
      </c>
      <c r="G827" s="6" t="s">
        <v>178</v>
      </c>
      <c r="H827" s="6">
        <v>32.82</v>
      </c>
      <c r="I827" s="6" t="s">
        <v>14</v>
      </c>
    </row>
    <row r="828" spans="1:9" x14ac:dyDescent="0.35">
      <c r="A828" s="34">
        <v>45462</v>
      </c>
      <c r="B828" s="34" t="str">
        <f t="shared" si="25"/>
        <v>June</v>
      </c>
      <c r="C828" s="4" t="str">
        <f t="shared" si="24"/>
        <v>Wednesday</v>
      </c>
      <c r="D828" s="5">
        <v>45462.769947187502</v>
      </c>
      <c r="E828" s="6" t="str" cm="1">
        <f t="array" ref="E828">_xlfn.IFS(HOUR(D828)&gt;=20,"20-24 ",HOUR(D828)&gt;=16,"16-20",HOUR(D828)&gt;=12,"12-16",HOUR(D828)&lt;12,"7-12")</f>
        <v>16-20</v>
      </c>
      <c r="F828" s="6" t="s">
        <v>3</v>
      </c>
      <c r="G828" s="6" t="s">
        <v>167</v>
      </c>
      <c r="H828" s="6">
        <v>37.72</v>
      </c>
      <c r="I828" s="6" t="s">
        <v>43</v>
      </c>
    </row>
    <row r="829" spans="1:9" x14ac:dyDescent="0.35">
      <c r="A829" s="34">
        <v>45462</v>
      </c>
      <c r="B829" s="34" t="str">
        <f t="shared" si="25"/>
        <v>June</v>
      </c>
      <c r="C829" s="4" t="str">
        <f t="shared" si="24"/>
        <v>Wednesday</v>
      </c>
      <c r="D829" s="5">
        <v>45462.770821307873</v>
      </c>
      <c r="E829" s="6" t="str" cm="1">
        <f t="array" ref="E829">_xlfn.IFS(HOUR(D829)&gt;=20,"20-24 ",HOUR(D829)&gt;=16,"16-20",HOUR(D829)&gt;=12,"12-16",HOUR(D829)&lt;12,"7-12")</f>
        <v>16-20</v>
      </c>
      <c r="F829" s="6" t="s">
        <v>3</v>
      </c>
      <c r="G829" s="6" t="s">
        <v>167</v>
      </c>
      <c r="H829" s="6">
        <v>37.72</v>
      </c>
      <c r="I829" s="6" t="s">
        <v>7</v>
      </c>
    </row>
    <row r="830" spans="1:9" x14ac:dyDescent="0.35">
      <c r="A830" s="34">
        <v>45462</v>
      </c>
      <c r="B830" s="34" t="str">
        <f t="shared" si="25"/>
        <v>June</v>
      </c>
      <c r="C830" s="4" t="str">
        <f t="shared" si="24"/>
        <v>Wednesday</v>
      </c>
      <c r="D830" s="5">
        <v>45462.813556631947</v>
      </c>
      <c r="E830" s="6" t="str" cm="1">
        <f t="array" ref="E830">_xlfn.IFS(HOUR(D830)&gt;=20,"20-24 ",HOUR(D830)&gt;=16,"16-20",HOUR(D830)&gt;=12,"12-16",HOUR(D830)&lt;12,"7-12")</f>
        <v>16-20</v>
      </c>
      <c r="F830" s="6" t="s">
        <v>3</v>
      </c>
      <c r="G830" s="6" t="s">
        <v>19</v>
      </c>
      <c r="H830" s="6">
        <v>32.82</v>
      </c>
      <c r="I830" s="6" t="s">
        <v>14</v>
      </c>
    </row>
    <row r="831" spans="1:9" x14ac:dyDescent="0.35">
      <c r="A831" s="34">
        <v>45462</v>
      </c>
      <c r="B831" s="34" t="str">
        <f t="shared" si="25"/>
        <v>June</v>
      </c>
      <c r="C831" s="4" t="str">
        <f t="shared" si="24"/>
        <v>Wednesday</v>
      </c>
      <c r="D831" s="5">
        <v>45462.895132928243</v>
      </c>
      <c r="E831" s="6" t="str" cm="1">
        <f t="array" ref="E831">_xlfn.IFS(HOUR(D831)&gt;=20,"20-24 ",HOUR(D831)&gt;=16,"16-20",HOUR(D831)&gt;=12,"12-16",HOUR(D831)&lt;12,"7-12")</f>
        <v xml:space="preserve">20-24 </v>
      </c>
      <c r="F831" s="6" t="s">
        <v>3</v>
      </c>
      <c r="G831" s="6" t="s">
        <v>206</v>
      </c>
      <c r="H831" s="6">
        <v>37.72</v>
      </c>
      <c r="I831" s="6" t="s">
        <v>43</v>
      </c>
    </row>
    <row r="832" spans="1:9" x14ac:dyDescent="0.35">
      <c r="A832" s="34">
        <v>45462</v>
      </c>
      <c r="B832" s="34" t="str">
        <f t="shared" si="25"/>
        <v>June</v>
      </c>
      <c r="C832" s="4" t="str">
        <f t="shared" si="24"/>
        <v>Wednesday</v>
      </c>
      <c r="D832" s="5">
        <v>45462.895873657406</v>
      </c>
      <c r="E832" s="6" t="str" cm="1">
        <f t="array" ref="E832">_xlfn.IFS(HOUR(D832)&gt;=20,"20-24 ",HOUR(D832)&gt;=16,"16-20",HOUR(D832)&gt;=12,"12-16",HOUR(D832)&lt;12,"7-12")</f>
        <v xml:space="preserve">20-24 </v>
      </c>
      <c r="F832" s="6" t="s">
        <v>3</v>
      </c>
      <c r="G832" s="6" t="s">
        <v>206</v>
      </c>
      <c r="H832" s="6">
        <v>32.82</v>
      </c>
      <c r="I832" s="6" t="s">
        <v>14</v>
      </c>
    </row>
    <row r="833" spans="1:9" x14ac:dyDescent="0.35">
      <c r="A833" s="34">
        <v>45463</v>
      </c>
      <c r="B833" s="34" t="str">
        <f t="shared" si="25"/>
        <v>June</v>
      </c>
      <c r="C833" s="4" t="str">
        <f t="shared" si="24"/>
        <v>Thursday</v>
      </c>
      <c r="D833" s="5">
        <v>45463.451463576392</v>
      </c>
      <c r="E833" s="6" t="str" cm="1">
        <f t="array" ref="E833">_xlfn.IFS(HOUR(D833)&gt;=20,"20-24 ",HOUR(D833)&gt;=16,"16-20",HOUR(D833)&gt;=12,"12-16",HOUR(D833)&lt;12,"7-12")</f>
        <v>7-12</v>
      </c>
      <c r="F833" s="6" t="s">
        <v>3</v>
      </c>
      <c r="G833" s="6" t="s">
        <v>111</v>
      </c>
      <c r="H833" s="6">
        <v>37.72</v>
      </c>
      <c r="I833" s="6" t="s">
        <v>7</v>
      </c>
    </row>
    <row r="834" spans="1:9" x14ac:dyDescent="0.35">
      <c r="A834" s="34">
        <v>45463</v>
      </c>
      <c r="B834" s="34" t="str">
        <f t="shared" si="25"/>
        <v>June</v>
      </c>
      <c r="C834" s="4" t="str">
        <f t="shared" ref="C834:C897" si="26">TEXT(A834,"ddddddddd")</f>
        <v>Thursday</v>
      </c>
      <c r="D834" s="5">
        <v>45463.790996319447</v>
      </c>
      <c r="E834" s="6" t="str" cm="1">
        <f t="array" ref="E834">_xlfn.IFS(HOUR(D834)&gt;=20,"20-24 ",HOUR(D834)&gt;=16,"16-20",HOUR(D834)&gt;=12,"12-16",HOUR(D834)&lt;12,"7-12")</f>
        <v>16-20</v>
      </c>
      <c r="F834" s="6" t="s">
        <v>3</v>
      </c>
      <c r="G834" s="6" t="s">
        <v>328</v>
      </c>
      <c r="H834" s="6">
        <v>37.72</v>
      </c>
      <c r="I834" s="6" t="s">
        <v>7</v>
      </c>
    </row>
    <row r="835" spans="1:9" x14ac:dyDescent="0.35">
      <c r="A835" s="34">
        <v>45463</v>
      </c>
      <c r="B835" s="34" t="str">
        <f t="shared" ref="B835:B898" si="27">TEXT(A835, "mmmm")</f>
        <v>June</v>
      </c>
      <c r="C835" s="4" t="str">
        <f t="shared" si="26"/>
        <v>Thursday</v>
      </c>
      <c r="D835" s="5">
        <v>45463.791669409722</v>
      </c>
      <c r="E835" s="6" t="str" cm="1">
        <f t="array" ref="E835">_xlfn.IFS(HOUR(D835)&gt;=20,"20-24 ",HOUR(D835)&gt;=16,"16-20",HOUR(D835)&gt;=12,"12-16",HOUR(D835)&lt;12,"7-12")</f>
        <v>16-20</v>
      </c>
      <c r="F835" s="6" t="s">
        <v>3</v>
      </c>
      <c r="G835" s="6" t="s">
        <v>328</v>
      </c>
      <c r="H835" s="6">
        <v>37.72</v>
      </c>
      <c r="I835" s="6" t="s">
        <v>7</v>
      </c>
    </row>
    <row r="836" spans="1:9" x14ac:dyDescent="0.35">
      <c r="A836" s="34">
        <v>45463</v>
      </c>
      <c r="B836" s="34" t="str">
        <f t="shared" si="27"/>
        <v>June</v>
      </c>
      <c r="C836" s="4" t="str">
        <f t="shared" si="26"/>
        <v>Thursday</v>
      </c>
      <c r="D836" s="5">
        <v>45463.90219922454</v>
      </c>
      <c r="E836" s="6" t="str" cm="1">
        <f t="array" ref="E836">_xlfn.IFS(HOUR(D836)&gt;=20,"20-24 ",HOUR(D836)&gt;=16,"16-20",HOUR(D836)&gt;=12,"12-16",HOUR(D836)&lt;12,"7-12")</f>
        <v xml:space="preserve">20-24 </v>
      </c>
      <c r="F836" s="6" t="s">
        <v>3</v>
      </c>
      <c r="G836" s="6" t="s">
        <v>271</v>
      </c>
      <c r="H836" s="6">
        <v>37.72</v>
      </c>
      <c r="I836" s="6" t="s">
        <v>7</v>
      </c>
    </row>
    <row r="837" spans="1:9" x14ac:dyDescent="0.35">
      <c r="A837" s="34">
        <v>45463</v>
      </c>
      <c r="B837" s="34" t="str">
        <f t="shared" si="27"/>
        <v>June</v>
      </c>
      <c r="C837" s="4" t="str">
        <f t="shared" si="26"/>
        <v>Thursday</v>
      </c>
      <c r="D837" s="5">
        <v>45463.915052708333</v>
      </c>
      <c r="E837" s="6" t="str" cm="1">
        <f t="array" ref="E837">_xlfn.IFS(HOUR(D837)&gt;=20,"20-24 ",HOUR(D837)&gt;=16,"16-20",HOUR(D837)&gt;=12,"12-16",HOUR(D837)&lt;12,"7-12")</f>
        <v xml:space="preserve">20-24 </v>
      </c>
      <c r="F837" s="6" t="s">
        <v>3</v>
      </c>
      <c r="G837" s="6" t="s">
        <v>19</v>
      </c>
      <c r="H837" s="6">
        <v>37.72</v>
      </c>
      <c r="I837" s="6" t="s">
        <v>7</v>
      </c>
    </row>
    <row r="838" spans="1:9" x14ac:dyDescent="0.35">
      <c r="A838" s="34">
        <v>45463</v>
      </c>
      <c r="B838" s="34" t="str">
        <f t="shared" si="27"/>
        <v>June</v>
      </c>
      <c r="C838" s="4" t="str">
        <f t="shared" si="26"/>
        <v>Thursday</v>
      </c>
      <c r="D838" s="5">
        <v>45463.916175902777</v>
      </c>
      <c r="E838" s="6" t="str" cm="1">
        <f t="array" ref="E838">_xlfn.IFS(HOUR(D838)&gt;=20,"20-24 ",HOUR(D838)&gt;=16,"16-20",HOUR(D838)&gt;=12,"12-16",HOUR(D838)&lt;12,"7-12")</f>
        <v xml:space="preserve">20-24 </v>
      </c>
      <c r="F838" s="6" t="s">
        <v>3</v>
      </c>
      <c r="G838" s="6" t="s">
        <v>19</v>
      </c>
      <c r="H838" s="6">
        <v>32.82</v>
      </c>
      <c r="I838" s="6" t="s">
        <v>14</v>
      </c>
    </row>
    <row r="839" spans="1:9" x14ac:dyDescent="0.35">
      <c r="A839" s="34">
        <v>45464</v>
      </c>
      <c r="B839" s="34" t="str">
        <f t="shared" si="27"/>
        <v>June</v>
      </c>
      <c r="C839" s="4" t="str">
        <f t="shared" si="26"/>
        <v>Friday</v>
      </c>
      <c r="D839" s="5">
        <v>45464.416619560187</v>
      </c>
      <c r="E839" s="6" t="str" cm="1">
        <f t="array" ref="E839">_xlfn.IFS(HOUR(D839)&gt;=20,"20-24 ",HOUR(D839)&gt;=16,"16-20",HOUR(D839)&gt;=12,"12-16",HOUR(D839)&lt;12,"7-12")</f>
        <v>7-12</v>
      </c>
      <c r="F839" s="6" t="s">
        <v>3</v>
      </c>
      <c r="G839" s="6" t="s">
        <v>325</v>
      </c>
      <c r="H839" s="6">
        <v>37.72</v>
      </c>
      <c r="I839" s="6" t="s">
        <v>7</v>
      </c>
    </row>
    <row r="840" spans="1:9" x14ac:dyDescent="0.35">
      <c r="A840" s="34">
        <v>45464</v>
      </c>
      <c r="B840" s="34" t="str">
        <f t="shared" si="27"/>
        <v>June</v>
      </c>
      <c r="C840" s="4" t="str">
        <f t="shared" si="26"/>
        <v>Friday</v>
      </c>
      <c r="D840" s="5">
        <v>45464.417826192126</v>
      </c>
      <c r="E840" s="6" t="str" cm="1">
        <f t="array" ref="E840">_xlfn.IFS(HOUR(D840)&gt;=20,"20-24 ",HOUR(D840)&gt;=16,"16-20",HOUR(D840)&gt;=12,"12-16",HOUR(D840)&lt;12,"7-12")</f>
        <v>7-12</v>
      </c>
      <c r="F840" s="6" t="s">
        <v>3</v>
      </c>
      <c r="G840" s="6" t="s">
        <v>329</v>
      </c>
      <c r="H840" s="6">
        <v>27.92</v>
      </c>
      <c r="I840" s="6" t="s">
        <v>11</v>
      </c>
    </row>
    <row r="841" spans="1:9" x14ac:dyDescent="0.35">
      <c r="A841" s="34">
        <v>45464</v>
      </c>
      <c r="B841" s="34" t="str">
        <f t="shared" si="27"/>
        <v>June</v>
      </c>
      <c r="C841" s="4" t="str">
        <f t="shared" si="26"/>
        <v>Friday</v>
      </c>
      <c r="D841" s="5">
        <v>45464.55508583333</v>
      </c>
      <c r="E841" s="6" t="str" cm="1">
        <f t="array" ref="E841">_xlfn.IFS(HOUR(D841)&gt;=20,"20-24 ",HOUR(D841)&gt;=16,"16-20",HOUR(D841)&gt;=12,"12-16",HOUR(D841)&lt;12,"7-12")</f>
        <v>12-16</v>
      </c>
      <c r="F841" s="6" t="s">
        <v>3</v>
      </c>
      <c r="G841" s="6" t="s">
        <v>23</v>
      </c>
      <c r="H841" s="6">
        <v>32.82</v>
      </c>
      <c r="I841" s="6" t="s">
        <v>14</v>
      </c>
    </row>
    <row r="842" spans="1:9" x14ac:dyDescent="0.35">
      <c r="A842" s="34">
        <v>45464</v>
      </c>
      <c r="B842" s="34" t="str">
        <f t="shared" si="27"/>
        <v>June</v>
      </c>
      <c r="C842" s="4" t="str">
        <f t="shared" si="26"/>
        <v>Friday</v>
      </c>
      <c r="D842" s="5">
        <v>45464.555920289349</v>
      </c>
      <c r="E842" s="6" t="str" cm="1">
        <f t="array" ref="E842">_xlfn.IFS(HOUR(D842)&gt;=20,"20-24 ",HOUR(D842)&gt;=16,"16-20",HOUR(D842)&gt;=12,"12-16",HOUR(D842)&lt;12,"7-12")</f>
        <v>12-16</v>
      </c>
      <c r="F842" s="6" t="s">
        <v>3</v>
      </c>
      <c r="G842" s="6" t="s">
        <v>23</v>
      </c>
      <c r="H842" s="6">
        <v>32.82</v>
      </c>
      <c r="I842" s="6" t="s">
        <v>14</v>
      </c>
    </row>
    <row r="843" spans="1:9" x14ac:dyDescent="0.35">
      <c r="A843" s="34">
        <v>45464</v>
      </c>
      <c r="B843" s="34" t="str">
        <f t="shared" si="27"/>
        <v>June</v>
      </c>
      <c r="C843" s="4" t="str">
        <f t="shared" si="26"/>
        <v>Friday</v>
      </c>
      <c r="D843" s="5">
        <v>45464.75851925926</v>
      </c>
      <c r="E843" s="6" t="str" cm="1">
        <f t="array" ref="E843">_xlfn.IFS(HOUR(D843)&gt;=20,"20-24 ",HOUR(D843)&gt;=16,"16-20",HOUR(D843)&gt;=12,"12-16",HOUR(D843)&lt;12,"7-12")</f>
        <v>16-20</v>
      </c>
      <c r="F843" s="6" t="s">
        <v>3</v>
      </c>
      <c r="G843" s="6" t="s">
        <v>330</v>
      </c>
      <c r="H843" s="6">
        <v>23.02</v>
      </c>
      <c r="I843" s="6" t="s">
        <v>35</v>
      </c>
    </row>
    <row r="844" spans="1:9" x14ac:dyDescent="0.35">
      <c r="A844" s="34">
        <v>45464</v>
      </c>
      <c r="B844" s="34" t="str">
        <f t="shared" si="27"/>
        <v>June</v>
      </c>
      <c r="C844" s="4" t="str">
        <f t="shared" si="26"/>
        <v>Friday</v>
      </c>
      <c r="D844" s="5">
        <v>45464.812808460651</v>
      </c>
      <c r="E844" s="6" t="str" cm="1">
        <f t="array" ref="E844">_xlfn.IFS(HOUR(D844)&gt;=20,"20-24 ",HOUR(D844)&gt;=16,"16-20",HOUR(D844)&gt;=12,"12-16",HOUR(D844)&lt;12,"7-12")</f>
        <v>16-20</v>
      </c>
      <c r="F844" s="6" t="s">
        <v>3</v>
      </c>
      <c r="G844" s="6" t="s">
        <v>19</v>
      </c>
      <c r="H844" s="6">
        <v>37.72</v>
      </c>
      <c r="I844" s="6" t="s">
        <v>7</v>
      </c>
    </row>
    <row r="845" spans="1:9" x14ac:dyDescent="0.35">
      <c r="A845" s="34">
        <v>45464</v>
      </c>
      <c r="B845" s="34" t="str">
        <f t="shared" si="27"/>
        <v>June</v>
      </c>
      <c r="C845" s="4" t="str">
        <f t="shared" si="26"/>
        <v>Friday</v>
      </c>
      <c r="D845" s="5">
        <v>45464.824377326389</v>
      </c>
      <c r="E845" s="6" t="str" cm="1">
        <f t="array" ref="E845">_xlfn.IFS(HOUR(D845)&gt;=20,"20-24 ",HOUR(D845)&gt;=16,"16-20",HOUR(D845)&gt;=12,"12-16",HOUR(D845)&lt;12,"7-12")</f>
        <v>16-20</v>
      </c>
      <c r="F845" s="6" t="s">
        <v>3</v>
      </c>
      <c r="G845" s="6" t="s">
        <v>168</v>
      </c>
      <c r="H845" s="6">
        <v>37.72</v>
      </c>
      <c r="I845" s="6" t="s">
        <v>43</v>
      </c>
    </row>
    <row r="846" spans="1:9" x14ac:dyDescent="0.35">
      <c r="A846" s="34">
        <v>45464</v>
      </c>
      <c r="B846" s="34" t="str">
        <f t="shared" si="27"/>
        <v>June</v>
      </c>
      <c r="C846" s="4" t="str">
        <f t="shared" si="26"/>
        <v>Friday</v>
      </c>
      <c r="D846" s="5">
        <v>45464.825077696762</v>
      </c>
      <c r="E846" s="6" t="str" cm="1">
        <f t="array" ref="E846">_xlfn.IFS(HOUR(D846)&gt;=20,"20-24 ",HOUR(D846)&gt;=16,"16-20",HOUR(D846)&gt;=12,"12-16",HOUR(D846)&lt;12,"7-12")</f>
        <v>16-20</v>
      </c>
      <c r="F846" s="6" t="s">
        <v>3</v>
      </c>
      <c r="G846" s="6" t="s">
        <v>168</v>
      </c>
      <c r="H846" s="6">
        <v>37.72</v>
      </c>
      <c r="I846" s="6" t="s">
        <v>43</v>
      </c>
    </row>
    <row r="847" spans="1:9" x14ac:dyDescent="0.35">
      <c r="A847" s="34">
        <v>45464</v>
      </c>
      <c r="B847" s="34" t="str">
        <f t="shared" si="27"/>
        <v>June</v>
      </c>
      <c r="C847" s="4" t="str">
        <f t="shared" si="26"/>
        <v>Friday</v>
      </c>
      <c r="D847" s="5">
        <v>45464.826325289352</v>
      </c>
      <c r="E847" s="6" t="str" cm="1">
        <f t="array" ref="E847">_xlfn.IFS(HOUR(D847)&gt;=20,"20-24 ",HOUR(D847)&gt;=16,"16-20",HOUR(D847)&gt;=12,"12-16",HOUR(D847)&lt;12,"7-12")</f>
        <v>16-20</v>
      </c>
      <c r="F847" s="6" t="s">
        <v>3</v>
      </c>
      <c r="G847" s="6" t="s">
        <v>194</v>
      </c>
      <c r="H847" s="6">
        <v>37.72</v>
      </c>
      <c r="I847" s="6" t="s">
        <v>43</v>
      </c>
    </row>
    <row r="848" spans="1:9" x14ac:dyDescent="0.35">
      <c r="A848" s="34">
        <v>45464</v>
      </c>
      <c r="B848" s="34" t="str">
        <f t="shared" si="27"/>
        <v>June</v>
      </c>
      <c r="C848" s="4" t="str">
        <f t="shared" si="26"/>
        <v>Friday</v>
      </c>
      <c r="D848" s="5">
        <v>45464.827085775461</v>
      </c>
      <c r="E848" s="6" t="str" cm="1">
        <f t="array" ref="E848">_xlfn.IFS(HOUR(D848)&gt;=20,"20-24 ",HOUR(D848)&gt;=16,"16-20",HOUR(D848)&gt;=12,"12-16",HOUR(D848)&lt;12,"7-12")</f>
        <v>16-20</v>
      </c>
      <c r="F848" s="6" t="s">
        <v>3</v>
      </c>
      <c r="G848" s="6" t="s">
        <v>194</v>
      </c>
      <c r="H848" s="6">
        <v>37.72</v>
      </c>
      <c r="I848" s="6" t="s">
        <v>43</v>
      </c>
    </row>
    <row r="849" spans="1:9" x14ac:dyDescent="0.35">
      <c r="A849" s="34">
        <v>45464</v>
      </c>
      <c r="B849" s="34" t="str">
        <f t="shared" si="27"/>
        <v>June</v>
      </c>
      <c r="C849" s="4" t="str">
        <f t="shared" si="26"/>
        <v>Friday</v>
      </c>
      <c r="D849" s="5">
        <v>45464.827995081017</v>
      </c>
      <c r="E849" s="6" t="str" cm="1">
        <f t="array" ref="E849">_xlfn.IFS(HOUR(D849)&gt;=20,"20-24 ",HOUR(D849)&gt;=16,"16-20",HOUR(D849)&gt;=12,"12-16",HOUR(D849)&lt;12,"7-12")</f>
        <v>16-20</v>
      </c>
      <c r="F849" s="6" t="s">
        <v>3</v>
      </c>
      <c r="G849" s="6" t="s">
        <v>194</v>
      </c>
      <c r="H849" s="6">
        <v>27.92</v>
      </c>
      <c r="I849" s="6" t="s">
        <v>11</v>
      </c>
    </row>
    <row r="850" spans="1:9" x14ac:dyDescent="0.35">
      <c r="A850" s="34">
        <v>45464</v>
      </c>
      <c r="B850" s="34" t="str">
        <f t="shared" si="27"/>
        <v>June</v>
      </c>
      <c r="C850" s="4" t="str">
        <f t="shared" si="26"/>
        <v>Friday</v>
      </c>
      <c r="D850" s="5">
        <v>45464.830290995371</v>
      </c>
      <c r="E850" s="6" t="str" cm="1">
        <f t="array" ref="E850">_xlfn.IFS(HOUR(D850)&gt;=20,"20-24 ",HOUR(D850)&gt;=16,"16-20",HOUR(D850)&gt;=12,"12-16",HOUR(D850)&lt;12,"7-12")</f>
        <v>16-20</v>
      </c>
      <c r="F850" s="6" t="s">
        <v>3</v>
      </c>
      <c r="G850" s="6" t="s">
        <v>325</v>
      </c>
      <c r="H850" s="6">
        <v>32.82</v>
      </c>
      <c r="I850" s="6" t="s">
        <v>14</v>
      </c>
    </row>
    <row r="851" spans="1:9" x14ac:dyDescent="0.35">
      <c r="A851" s="34">
        <v>45465</v>
      </c>
      <c r="B851" s="34" t="str">
        <f t="shared" si="27"/>
        <v>June</v>
      </c>
      <c r="C851" s="4" t="str">
        <f t="shared" si="26"/>
        <v>Saturday</v>
      </c>
      <c r="D851" s="5">
        <v>45465.360998530094</v>
      </c>
      <c r="E851" s="6" t="str" cm="1">
        <f t="array" ref="E851">_xlfn.IFS(HOUR(D851)&gt;=20,"20-24 ",HOUR(D851)&gt;=16,"16-20",HOUR(D851)&gt;=12,"12-16",HOUR(D851)&lt;12,"7-12")</f>
        <v>7-12</v>
      </c>
      <c r="F851" s="6" t="s">
        <v>3</v>
      </c>
      <c r="G851" s="6" t="s">
        <v>155</v>
      </c>
      <c r="H851" s="6">
        <v>27.92</v>
      </c>
      <c r="I851" s="6" t="s">
        <v>28</v>
      </c>
    </row>
    <row r="852" spans="1:9" x14ac:dyDescent="0.35">
      <c r="A852" s="34">
        <v>45465</v>
      </c>
      <c r="B852" s="34" t="str">
        <f t="shared" si="27"/>
        <v>June</v>
      </c>
      <c r="C852" s="4" t="str">
        <f t="shared" si="26"/>
        <v>Saturday</v>
      </c>
      <c r="D852" s="5">
        <v>45465.401259016202</v>
      </c>
      <c r="E852" s="6" t="str" cm="1">
        <f t="array" ref="E852">_xlfn.IFS(HOUR(D852)&gt;=20,"20-24 ",HOUR(D852)&gt;=16,"16-20",HOUR(D852)&gt;=12,"12-16",HOUR(D852)&lt;12,"7-12")</f>
        <v>7-12</v>
      </c>
      <c r="F852" s="6" t="s">
        <v>3</v>
      </c>
      <c r="G852" s="6" t="s">
        <v>325</v>
      </c>
      <c r="H852" s="6">
        <v>32.82</v>
      </c>
      <c r="I852" s="6" t="s">
        <v>14</v>
      </c>
    </row>
    <row r="853" spans="1:9" x14ac:dyDescent="0.35">
      <c r="A853" s="34">
        <v>45465</v>
      </c>
      <c r="B853" s="34" t="str">
        <f t="shared" si="27"/>
        <v>June</v>
      </c>
      <c r="C853" s="4" t="str">
        <f t="shared" si="26"/>
        <v>Saturday</v>
      </c>
      <c r="D853" s="5">
        <v>45465.53698542824</v>
      </c>
      <c r="E853" s="6" t="str" cm="1">
        <f t="array" ref="E853">_xlfn.IFS(HOUR(D853)&gt;=20,"20-24 ",HOUR(D853)&gt;=16,"16-20",HOUR(D853)&gt;=12,"12-16",HOUR(D853)&lt;12,"7-12")</f>
        <v>12-16</v>
      </c>
      <c r="F853" s="6" t="s">
        <v>3</v>
      </c>
      <c r="G853" s="6" t="s">
        <v>331</v>
      </c>
      <c r="H853" s="6">
        <v>32.82</v>
      </c>
      <c r="I853" s="6" t="s">
        <v>14</v>
      </c>
    </row>
    <row r="854" spans="1:9" x14ac:dyDescent="0.35">
      <c r="A854" s="34">
        <v>45465</v>
      </c>
      <c r="B854" s="34" t="str">
        <f t="shared" si="27"/>
        <v>June</v>
      </c>
      <c r="C854" s="4" t="str">
        <f t="shared" si="26"/>
        <v>Saturday</v>
      </c>
      <c r="D854" s="5">
        <v>45465.650927511575</v>
      </c>
      <c r="E854" s="6" t="str" cm="1">
        <f t="array" ref="E854">_xlfn.IFS(HOUR(D854)&gt;=20,"20-24 ",HOUR(D854)&gt;=16,"16-20",HOUR(D854)&gt;=12,"12-16",HOUR(D854)&lt;12,"7-12")</f>
        <v>12-16</v>
      </c>
      <c r="F854" s="6" t="s">
        <v>3</v>
      </c>
      <c r="G854" s="6" t="s">
        <v>19</v>
      </c>
      <c r="H854" s="6">
        <v>37.72</v>
      </c>
      <c r="I854" s="6" t="s">
        <v>7</v>
      </c>
    </row>
    <row r="855" spans="1:9" x14ac:dyDescent="0.35">
      <c r="A855" s="34">
        <v>45465</v>
      </c>
      <c r="B855" s="34" t="str">
        <f t="shared" si="27"/>
        <v>June</v>
      </c>
      <c r="C855" s="4" t="str">
        <f t="shared" si="26"/>
        <v>Saturday</v>
      </c>
      <c r="D855" s="5">
        <v>45465.923877291665</v>
      </c>
      <c r="E855" s="6" t="str" cm="1">
        <f t="array" ref="E855">_xlfn.IFS(HOUR(D855)&gt;=20,"20-24 ",HOUR(D855)&gt;=16,"16-20",HOUR(D855)&gt;=12,"12-16",HOUR(D855)&lt;12,"7-12")</f>
        <v xml:space="preserve">20-24 </v>
      </c>
      <c r="F855" s="6" t="s">
        <v>3</v>
      </c>
      <c r="G855" s="6" t="s">
        <v>332</v>
      </c>
      <c r="H855" s="6">
        <v>37.72</v>
      </c>
      <c r="I855" s="6" t="s">
        <v>43</v>
      </c>
    </row>
    <row r="856" spans="1:9" x14ac:dyDescent="0.35">
      <c r="A856" s="34">
        <v>45466</v>
      </c>
      <c r="B856" s="34" t="str">
        <f t="shared" si="27"/>
        <v>June</v>
      </c>
      <c r="C856" s="4" t="str">
        <f t="shared" si="26"/>
        <v>Sunday</v>
      </c>
      <c r="D856" s="5">
        <v>45466.758349606484</v>
      </c>
      <c r="E856" s="6" t="str" cm="1">
        <f t="array" ref="E856">_xlfn.IFS(HOUR(D856)&gt;=20,"20-24 ",HOUR(D856)&gt;=16,"16-20",HOUR(D856)&gt;=12,"12-16",HOUR(D856)&lt;12,"7-12")</f>
        <v>16-20</v>
      </c>
      <c r="F856" s="6" t="s">
        <v>3</v>
      </c>
      <c r="G856" s="6" t="s">
        <v>23</v>
      </c>
      <c r="H856" s="6">
        <v>32.82</v>
      </c>
      <c r="I856" s="6" t="s">
        <v>14</v>
      </c>
    </row>
    <row r="857" spans="1:9" x14ac:dyDescent="0.35">
      <c r="A857" s="34">
        <v>45466</v>
      </c>
      <c r="B857" s="34" t="str">
        <f t="shared" si="27"/>
        <v>June</v>
      </c>
      <c r="C857" s="4" t="str">
        <f t="shared" si="26"/>
        <v>Sunday</v>
      </c>
      <c r="D857" s="5">
        <v>45466.759613865739</v>
      </c>
      <c r="E857" s="6" t="str" cm="1">
        <f t="array" ref="E857">_xlfn.IFS(HOUR(D857)&gt;=20,"20-24 ",HOUR(D857)&gt;=16,"16-20",HOUR(D857)&gt;=12,"12-16",HOUR(D857)&lt;12,"7-12")</f>
        <v>16-20</v>
      </c>
      <c r="F857" s="6" t="s">
        <v>3</v>
      </c>
      <c r="G857" s="6" t="s">
        <v>23</v>
      </c>
      <c r="H857" s="6">
        <v>32.82</v>
      </c>
      <c r="I857" s="6" t="s">
        <v>14</v>
      </c>
    </row>
    <row r="858" spans="1:9" x14ac:dyDescent="0.35">
      <c r="A858" s="34">
        <v>45466</v>
      </c>
      <c r="B858" s="34" t="str">
        <f t="shared" si="27"/>
        <v>June</v>
      </c>
      <c r="C858" s="4" t="str">
        <f t="shared" si="26"/>
        <v>Sunday</v>
      </c>
      <c r="D858" s="5">
        <v>45466.879710138892</v>
      </c>
      <c r="E858" s="6" t="str" cm="1">
        <f t="array" ref="E858">_xlfn.IFS(HOUR(D858)&gt;=20,"20-24 ",HOUR(D858)&gt;=16,"16-20",HOUR(D858)&gt;=12,"12-16",HOUR(D858)&lt;12,"7-12")</f>
        <v xml:space="preserve">20-24 </v>
      </c>
      <c r="F858" s="6" t="s">
        <v>3</v>
      </c>
      <c r="G858" s="6" t="s">
        <v>333</v>
      </c>
      <c r="H858" s="6">
        <v>37.72</v>
      </c>
      <c r="I858" s="6" t="s">
        <v>43</v>
      </c>
    </row>
    <row r="859" spans="1:9" x14ac:dyDescent="0.35">
      <c r="A859" s="34">
        <v>45466</v>
      </c>
      <c r="B859" s="34" t="str">
        <f t="shared" si="27"/>
        <v>June</v>
      </c>
      <c r="C859" s="4" t="str">
        <f t="shared" si="26"/>
        <v>Sunday</v>
      </c>
      <c r="D859" s="5">
        <v>45466.89522943287</v>
      </c>
      <c r="E859" s="6" t="str" cm="1">
        <f t="array" ref="E859">_xlfn.IFS(HOUR(D859)&gt;=20,"20-24 ",HOUR(D859)&gt;=16,"16-20",HOUR(D859)&gt;=12,"12-16",HOUR(D859)&lt;12,"7-12")</f>
        <v xml:space="preserve">20-24 </v>
      </c>
      <c r="F859" s="6" t="s">
        <v>3</v>
      </c>
      <c r="G859" s="6" t="s">
        <v>334</v>
      </c>
      <c r="H859" s="6">
        <v>37.72</v>
      </c>
      <c r="I859" s="6" t="s">
        <v>7</v>
      </c>
    </row>
    <row r="860" spans="1:9" x14ac:dyDescent="0.35">
      <c r="A860" s="34">
        <v>45466</v>
      </c>
      <c r="B860" s="34" t="str">
        <f t="shared" si="27"/>
        <v>June</v>
      </c>
      <c r="C860" s="4" t="str">
        <f t="shared" si="26"/>
        <v>Sunday</v>
      </c>
      <c r="D860" s="5">
        <v>45466.896254340281</v>
      </c>
      <c r="E860" s="6" t="str" cm="1">
        <f t="array" ref="E860">_xlfn.IFS(HOUR(D860)&gt;=20,"20-24 ",HOUR(D860)&gt;=16,"16-20",HOUR(D860)&gt;=12,"12-16",HOUR(D860)&lt;12,"7-12")</f>
        <v xml:space="preserve">20-24 </v>
      </c>
      <c r="F860" s="6" t="s">
        <v>3</v>
      </c>
      <c r="G860" s="6" t="s">
        <v>334</v>
      </c>
      <c r="H860" s="6">
        <v>37.72</v>
      </c>
      <c r="I860" s="6" t="s">
        <v>43</v>
      </c>
    </row>
    <row r="861" spans="1:9" x14ac:dyDescent="0.35">
      <c r="A861" s="34">
        <v>45467</v>
      </c>
      <c r="B861" s="34" t="str">
        <f t="shared" si="27"/>
        <v>June</v>
      </c>
      <c r="C861" s="4" t="str">
        <f t="shared" si="26"/>
        <v>Monday</v>
      </c>
      <c r="D861" s="5">
        <v>45467.489351145836</v>
      </c>
      <c r="E861" s="6" t="str" cm="1">
        <f t="array" ref="E861">_xlfn.IFS(HOUR(D861)&gt;=20,"20-24 ",HOUR(D861)&gt;=16,"16-20",HOUR(D861)&gt;=12,"12-16",HOUR(D861)&lt;12,"7-12")</f>
        <v>7-12</v>
      </c>
      <c r="F861" s="6" t="s">
        <v>3</v>
      </c>
      <c r="G861" s="6" t="s">
        <v>178</v>
      </c>
      <c r="H861" s="6">
        <v>32.82</v>
      </c>
      <c r="I861" s="6" t="s">
        <v>14</v>
      </c>
    </row>
    <row r="862" spans="1:9" x14ac:dyDescent="0.35">
      <c r="A862" s="34">
        <v>45467</v>
      </c>
      <c r="B862" s="34" t="str">
        <f t="shared" si="27"/>
        <v>June</v>
      </c>
      <c r="C862" s="4" t="str">
        <f t="shared" si="26"/>
        <v>Monday</v>
      </c>
      <c r="D862" s="5">
        <v>45467.492778287036</v>
      </c>
      <c r="E862" s="6" t="str" cm="1">
        <f t="array" ref="E862">_xlfn.IFS(HOUR(D862)&gt;=20,"20-24 ",HOUR(D862)&gt;=16,"16-20",HOUR(D862)&gt;=12,"12-16",HOUR(D862)&lt;12,"7-12")</f>
        <v>7-12</v>
      </c>
      <c r="F862" s="6" t="s">
        <v>3</v>
      </c>
      <c r="G862" s="6" t="s">
        <v>194</v>
      </c>
      <c r="H862" s="6">
        <v>37.72</v>
      </c>
      <c r="I862" s="6" t="s">
        <v>43</v>
      </c>
    </row>
    <row r="863" spans="1:9" x14ac:dyDescent="0.35">
      <c r="A863" s="34">
        <v>45467</v>
      </c>
      <c r="B863" s="34" t="str">
        <f t="shared" si="27"/>
        <v>June</v>
      </c>
      <c r="C863" s="4" t="str">
        <f t="shared" si="26"/>
        <v>Monday</v>
      </c>
      <c r="D863" s="5">
        <v>45467.49356574074</v>
      </c>
      <c r="E863" s="6" t="str" cm="1">
        <f t="array" ref="E863">_xlfn.IFS(HOUR(D863)&gt;=20,"20-24 ",HOUR(D863)&gt;=16,"16-20",HOUR(D863)&gt;=12,"12-16",HOUR(D863)&lt;12,"7-12")</f>
        <v>7-12</v>
      </c>
      <c r="F863" s="6" t="s">
        <v>3</v>
      </c>
      <c r="G863" s="6" t="s">
        <v>194</v>
      </c>
      <c r="H863" s="6">
        <v>37.72</v>
      </c>
      <c r="I863" s="6" t="s">
        <v>43</v>
      </c>
    </row>
    <row r="864" spans="1:9" x14ac:dyDescent="0.35">
      <c r="A864" s="34">
        <v>45467</v>
      </c>
      <c r="B864" s="34" t="str">
        <f t="shared" si="27"/>
        <v>June</v>
      </c>
      <c r="C864" s="4" t="str">
        <f t="shared" si="26"/>
        <v>Monday</v>
      </c>
      <c r="D864" s="5">
        <v>45467.626724479167</v>
      </c>
      <c r="E864" s="6" t="str" cm="1">
        <f t="array" ref="E864">_xlfn.IFS(HOUR(D864)&gt;=20,"20-24 ",HOUR(D864)&gt;=16,"16-20",HOUR(D864)&gt;=12,"12-16",HOUR(D864)&lt;12,"7-12")</f>
        <v>12-16</v>
      </c>
      <c r="F864" s="6" t="s">
        <v>3</v>
      </c>
      <c r="G864" s="6" t="s">
        <v>335</v>
      </c>
      <c r="H864" s="6">
        <v>37.72</v>
      </c>
      <c r="I864" s="6" t="s">
        <v>7</v>
      </c>
    </row>
    <row r="865" spans="1:9" x14ac:dyDescent="0.35">
      <c r="A865" s="34">
        <v>45467</v>
      </c>
      <c r="B865" s="34" t="str">
        <f t="shared" si="27"/>
        <v>June</v>
      </c>
      <c r="C865" s="4" t="str">
        <f t="shared" si="26"/>
        <v>Monday</v>
      </c>
      <c r="D865" s="5">
        <v>45467.698617743059</v>
      </c>
      <c r="E865" s="6" t="str" cm="1">
        <f t="array" ref="E865">_xlfn.IFS(HOUR(D865)&gt;=20,"20-24 ",HOUR(D865)&gt;=16,"16-20",HOUR(D865)&gt;=12,"12-16",HOUR(D865)&lt;12,"7-12")</f>
        <v>16-20</v>
      </c>
      <c r="F865" s="6" t="s">
        <v>3</v>
      </c>
      <c r="G865" s="6" t="s">
        <v>217</v>
      </c>
      <c r="H865" s="6">
        <v>37.72</v>
      </c>
      <c r="I865" s="6" t="s">
        <v>43</v>
      </c>
    </row>
    <row r="866" spans="1:9" x14ac:dyDescent="0.35">
      <c r="A866" s="34">
        <v>45467</v>
      </c>
      <c r="B866" s="34" t="str">
        <f t="shared" si="27"/>
        <v>June</v>
      </c>
      <c r="C866" s="4" t="str">
        <f t="shared" si="26"/>
        <v>Monday</v>
      </c>
      <c r="D866" s="5">
        <v>45467.699310289354</v>
      </c>
      <c r="E866" s="6" t="str" cm="1">
        <f t="array" ref="E866">_xlfn.IFS(HOUR(D866)&gt;=20,"20-24 ",HOUR(D866)&gt;=16,"16-20",HOUR(D866)&gt;=12,"12-16",HOUR(D866)&lt;12,"7-12")</f>
        <v>16-20</v>
      </c>
      <c r="F866" s="6" t="s">
        <v>3</v>
      </c>
      <c r="G866" s="6" t="s">
        <v>217</v>
      </c>
      <c r="H866" s="6">
        <v>37.72</v>
      </c>
      <c r="I866" s="6" t="s">
        <v>43</v>
      </c>
    </row>
    <row r="867" spans="1:9" x14ac:dyDescent="0.35">
      <c r="A867" s="34">
        <v>45468</v>
      </c>
      <c r="B867" s="34" t="str">
        <f t="shared" si="27"/>
        <v>June</v>
      </c>
      <c r="C867" s="4" t="str">
        <f t="shared" si="26"/>
        <v>Tuesday</v>
      </c>
      <c r="D867" s="5">
        <v>45468.346808379632</v>
      </c>
      <c r="E867" s="6" t="str" cm="1">
        <f t="array" ref="E867">_xlfn.IFS(HOUR(D867)&gt;=20,"20-24 ",HOUR(D867)&gt;=16,"16-20",HOUR(D867)&gt;=12,"12-16",HOUR(D867)&lt;12,"7-12")</f>
        <v>7-12</v>
      </c>
      <c r="F867" s="6" t="s">
        <v>3</v>
      </c>
      <c r="G867" s="6" t="s">
        <v>336</v>
      </c>
      <c r="H867" s="6">
        <v>37.72</v>
      </c>
      <c r="I867" s="6" t="s">
        <v>7</v>
      </c>
    </row>
    <row r="868" spans="1:9" x14ac:dyDescent="0.35">
      <c r="A868" s="34">
        <v>45468</v>
      </c>
      <c r="B868" s="34" t="str">
        <f t="shared" si="27"/>
        <v>June</v>
      </c>
      <c r="C868" s="4" t="str">
        <f t="shared" si="26"/>
        <v>Tuesday</v>
      </c>
      <c r="D868" s="5">
        <v>45468.436416759258</v>
      </c>
      <c r="E868" s="6" t="str" cm="1">
        <f t="array" ref="E868">_xlfn.IFS(HOUR(D868)&gt;=20,"20-24 ",HOUR(D868)&gt;=16,"16-20",HOUR(D868)&gt;=12,"12-16",HOUR(D868)&lt;12,"7-12")</f>
        <v>7-12</v>
      </c>
      <c r="F868" s="6" t="s">
        <v>3</v>
      </c>
      <c r="G868" s="6" t="s">
        <v>23</v>
      </c>
      <c r="H868" s="6">
        <v>32.82</v>
      </c>
      <c r="I868" s="6" t="s">
        <v>14</v>
      </c>
    </row>
    <row r="869" spans="1:9" x14ac:dyDescent="0.35">
      <c r="A869" s="34">
        <v>45468</v>
      </c>
      <c r="B869" s="34" t="str">
        <f t="shared" si="27"/>
        <v>June</v>
      </c>
      <c r="C869" s="4" t="str">
        <f t="shared" si="26"/>
        <v>Tuesday</v>
      </c>
      <c r="D869" s="5">
        <v>45468.437296412034</v>
      </c>
      <c r="E869" s="6" t="str" cm="1">
        <f t="array" ref="E869">_xlfn.IFS(HOUR(D869)&gt;=20,"20-24 ",HOUR(D869)&gt;=16,"16-20",HOUR(D869)&gt;=12,"12-16",HOUR(D869)&lt;12,"7-12")</f>
        <v>7-12</v>
      </c>
      <c r="F869" s="6" t="s">
        <v>3</v>
      </c>
      <c r="G869" s="6" t="s">
        <v>54</v>
      </c>
      <c r="H869" s="6">
        <v>32.82</v>
      </c>
      <c r="I869" s="6" t="s">
        <v>14</v>
      </c>
    </row>
    <row r="870" spans="1:9" x14ac:dyDescent="0.35">
      <c r="A870" s="34">
        <v>45468</v>
      </c>
      <c r="B870" s="34" t="str">
        <f t="shared" si="27"/>
        <v>June</v>
      </c>
      <c r="C870" s="4" t="str">
        <f t="shared" si="26"/>
        <v>Tuesday</v>
      </c>
      <c r="D870" s="5">
        <v>45468.482549722219</v>
      </c>
      <c r="E870" s="6" t="str" cm="1">
        <f t="array" ref="E870">_xlfn.IFS(HOUR(D870)&gt;=20,"20-24 ",HOUR(D870)&gt;=16,"16-20",HOUR(D870)&gt;=12,"12-16",HOUR(D870)&lt;12,"7-12")</f>
        <v>7-12</v>
      </c>
      <c r="F870" s="6" t="s">
        <v>3</v>
      </c>
      <c r="G870" s="6" t="s">
        <v>217</v>
      </c>
      <c r="H870" s="6">
        <v>37.72</v>
      </c>
      <c r="I870" s="6" t="s">
        <v>43</v>
      </c>
    </row>
    <row r="871" spans="1:9" x14ac:dyDescent="0.35">
      <c r="A871" s="34">
        <v>45469</v>
      </c>
      <c r="B871" s="34" t="str">
        <f t="shared" si="27"/>
        <v>June</v>
      </c>
      <c r="C871" s="4" t="str">
        <f t="shared" si="26"/>
        <v>Wednesday</v>
      </c>
      <c r="D871" s="5">
        <v>45469.397936412039</v>
      </c>
      <c r="E871" s="6" t="str" cm="1">
        <f t="array" ref="E871">_xlfn.IFS(HOUR(D871)&gt;=20,"20-24 ",HOUR(D871)&gt;=16,"16-20",HOUR(D871)&gt;=12,"12-16",HOUR(D871)&lt;12,"7-12")</f>
        <v>7-12</v>
      </c>
      <c r="F871" s="6" t="s">
        <v>3</v>
      </c>
      <c r="G871" s="6" t="s">
        <v>337</v>
      </c>
      <c r="H871" s="6">
        <v>37.72</v>
      </c>
      <c r="I871" s="6" t="s">
        <v>7</v>
      </c>
    </row>
    <row r="872" spans="1:9" x14ac:dyDescent="0.35">
      <c r="A872" s="34">
        <v>45469</v>
      </c>
      <c r="B872" s="34" t="str">
        <f t="shared" si="27"/>
        <v>June</v>
      </c>
      <c r="C872" s="4" t="str">
        <f t="shared" si="26"/>
        <v>Wednesday</v>
      </c>
      <c r="D872" s="5">
        <v>45469.689229780095</v>
      </c>
      <c r="E872" s="6" t="str" cm="1">
        <f t="array" ref="E872">_xlfn.IFS(HOUR(D872)&gt;=20,"20-24 ",HOUR(D872)&gt;=16,"16-20",HOUR(D872)&gt;=12,"12-16",HOUR(D872)&lt;12,"7-12")</f>
        <v>16-20</v>
      </c>
      <c r="F872" s="6" t="s">
        <v>3</v>
      </c>
      <c r="G872" s="6" t="s">
        <v>338</v>
      </c>
      <c r="H872" s="6">
        <v>23.02</v>
      </c>
      <c r="I872" s="6" t="s">
        <v>35</v>
      </c>
    </row>
    <row r="873" spans="1:9" x14ac:dyDescent="0.35">
      <c r="A873" s="34">
        <v>45469</v>
      </c>
      <c r="B873" s="34" t="str">
        <f t="shared" si="27"/>
        <v>June</v>
      </c>
      <c r="C873" s="4" t="str">
        <f t="shared" si="26"/>
        <v>Wednesday</v>
      </c>
      <c r="D873" s="5">
        <v>45469.690296377317</v>
      </c>
      <c r="E873" s="6" t="str" cm="1">
        <f t="array" ref="E873">_xlfn.IFS(HOUR(D873)&gt;=20,"20-24 ",HOUR(D873)&gt;=16,"16-20",HOUR(D873)&gt;=12,"12-16",HOUR(D873)&lt;12,"7-12")</f>
        <v>16-20</v>
      </c>
      <c r="F873" s="6" t="s">
        <v>3</v>
      </c>
      <c r="G873" s="6" t="s">
        <v>339</v>
      </c>
      <c r="H873" s="6">
        <v>27.92</v>
      </c>
      <c r="I873" s="6" t="s">
        <v>11</v>
      </c>
    </row>
    <row r="874" spans="1:9" x14ac:dyDescent="0.35">
      <c r="A874" s="34">
        <v>45469</v>
      </c>
      <c r="B874" s="34" t="str">
        <f t="shared" si="27"/>
        <v>June</v>
      </c>
      <c r="C874" s="4" t="str">
        <f t="shared" si="26"/>
        <v>Wednesday</v>
      </c>
      <c r="D874" s="5">
        <v>45469.890200185182</v>
      </c>
      <c r="E874" s="6" t="str" cm="1">
        <f t="array" ref="E874">_xlfn.IFS(HOUR(D874)&gt;=20,"20-24 ",HOUR(D874)&gt;=16,"16-20",HOUR(D874)&gt;=12,"12-16",HOUR(D874)&lt;12,"7-12")</f>
        <v xml:space="preserve">20-24 </v>
      </c>
      <c r="F874" s="6" t="s">
        <v>3</v>
      </c>
      <c r="G874" s="6" t="s">
        <v>19</v>
      </c>
      <c r="H874" s="6">
        <v>37.72</v>
      </c>
      <c r="I874" s="6" t="s">
        <v>7</v>
      </c>
    </row>
    <row r="875" spans="1:9" x14ac:dyDescent="0.35">
      <c r="A875" s="34">
        <v>45469</v>
      </c>
      <c r="B875" s="34" t="str">
        <f t="shared" si="27"/>
        <v>June</v>
      </c>
      <c r="C875" s="4" t="str">
        <f t="shared" si="26"/>
        <v>Wednesday</v>
      </c>
      <c r="D875" s="5">
        <v>45469.893759340281</v>
      </c>
      <c r="E875" s="6" t="str" cm="1">
        <f t="array" ref="E875">_xlfn.IFS(HOUR(D875)&gt;=20,"20-24 ",HOUR(D875)&gt;=16,"16-20",HOUR(D875)&gt;=12,"12-16",HOUR(D875)&lt;12,"7-12")</f>
        <v xml:space="preserve">20-24 </v>
      </c>
      <c r="F875" s="6" t="s">
        <v>3</v>
      </c>
      <c r="G875" s="6" t="s">
        <v>19</v>
      </c>
      <c r="H875" s="6">
        <v>37.72</v>
      </c>
      <c r="I875" s="6" t="s">
        <v>43</v>
      </c>
    </row>
    <row r="876" spans="1:9" x14ac:dyDescent="0.35">
      <c r="A876" s="34">
        <v>45469</v>
      </c>
      <c r="B876" s="34" t="str">
        <f t="shared" si="27"/>
        <v>June</v>
      </c>
      <c r="C876" s="4" t="str">
        <f t="shared" si="26"/>
        <v>Wednesday</v>
      </c>
      <c r="D876" s="5">
        <v>45469.894613032404</v>
      </c>
      <c r="E876" s="6" t="str" cm="1">
        <f t="array" ref="E876">_xlfn.IFS(HOUR(D876)&gt;=20,"20-24 ",HOUR(D876)&gt;=16,"16-20",HOUR(D876)&gt;=12,"12-16",HOUR(D876)&lt;12,"7-12")</f>
        <v xml:space="preserve">20-24 </v>
      </c>
      <c r="F876" s="6" t="s">
        <v>3</v>
      </c>
      <c r="G876" s="6" t="s">
        <v>220</v>
      </c>
      <c r="H876" s="6">
        <v>32.82</v>
      </c>
      <c r="I876" s="6" t="s">
        <v>14</v>
      </c>
    </row>
    <row r="877" spans="1:9" x14ac:dyDescent="0.35">
      <c r="A877" s="34">
        <v>45470</v>
      </c>
      <c r="B877" s="34" t="str">
        <f t="shared" si="27"/>
        <v>June</v>
      </c>
      <c r="C877" s="4" t="str">
        <f t="shared" si="26"/>
        <v>Thursday</v>
      </c>
      <c r="D877" s="5">
        <v>45470.385916354164</v>
      </c>
      <c r="E877" s="6" t="str" cm="1">
        <f t="array" ref="E877">_xlfn.IFS(HOUR(D877)&gt;=20,"20-24 ",HOUR(D877)&gt;=16,"16-20",HOUR(D877)&gt;=12,"12-16",HOUR(D877)&lt;12,"7-12")</f>
        <v>7-12</v>
      </c>
      <c r="F877" s="6" t="s">
        <v>3</v>
      </c>
      <c r="G877" s="6" t="s">
        <v>340</v>
      </c>
      <c r="H877" s="6">
        <v>32.82</v>
      </c>
      <c r="I877" s="6" t="s">
        <v>14</v>
      </c>
    </row>
    <row r="878" spans="1:9" x14ac:dyDescent="0.35">
      <c r="A878" s="34">
        <v>45470</v>
      </c>
      <c r="B878" s="34" t="str">
        <f t="shared" si="27"/>
        <v>June</v>
      </c>
      <c r="C878" s="4" t="str">
        <f t="shared" si="26"/>
        <v>Thursday</v>
      </c>
      <c r="D878" s="5">
        <v>45470.674861111111</v>
      </c>
      <c r="E878" s="6" t="str" cm="1">
        <f t="array" ref="E878">_xlfn.IFS(HOUR(D878)&gt;=20,"20-24 ",HOUR(D878)&gt;=16,"16-20",HOUR(D878)&gt;=12,"12-16",HOUR(D878)&lt;12,"7-12")</f>
        <v>16-20</v>
      </c>
      <c r="F878" s="6" t="s">
        <v>3</v>
      </c>
      <c r="G878" s="6" t="s">
        <v>341</v>
      </c>
      <c r="H878" s="6">
        <v>27.92</v>
      </c>
      <c r="I878" s="6" t="s">
        <v>28</v>
      </c>
    </row>
    <row r="879" spans="1:9" x14ac:dyDescent="0.35">
      <c r="A879" s="34">
        <v>45470</v>
      </c>
      <c r="B879" s="34" t="str">
        <f t="shared" si="27"/>
        <v>June</v>
      </c>
      <c r="C879" s="4" t="str">
        <f t="shared" si="26"/>
        <v>Thursday</v>
      </c>
      <c r="D879" s="5">
        <v>45470.905594583332</v>
      </c>
      <c r="E879" s="6" t="str" cm="1">
        <f t="array" ref="E879">_xlfn.IFS(HOUR(D879)&gt;=20,"20-24 ",HOUR(D879)&gt;=16,"16-20",HOUR(D879)&gt;=12,"12-16",HOUR(D879)&lt;12,"7-12")</f>
        <v xml:space="preserve">20-24 </v>
      </c>
      <c r="F879" s="6" t="s">
        <v>3</v>
      </c>
      <c r="G879" s="6" t="s">
        <v>342</v>
      </c>
      <c r="H879" s="6">
        <v>32.82</v>
      </c>
      <c r="I879" s="6" t="s">
        <v>14</v>
      </c>
    </row>
    <row r="880" spans="1:9" x14ac:dyDescent="0.35">
      <c r="A880" s="34">
        <v>45470</v>
      </c>
      <c r="B880" s="34" t="str">
        <f t="shared" si="27"/>
        <v>June</v>
      </c>
      <c r="C880" s="4" t="str">
        <f t="shared" si="26"/>
        <v>Thursday</v>
      </c>
      <c r="D880" s="5">
        <v>45470.910088159719</v>
      </c>
      <c r="E880" s="6" t="str" cm="1">
        <f t="array" ref="E880">_xlfn.IFS(HOUR(D880)&gt;=20,"20-24 ",HOUR(D880)&gt;=16,"16-20",HOUR(D880)&gt;=12,"12-16",HOUR(D880)&lt;12,"7-12")</f>
        <v xml:space="preserve">20-24 </v>
      </c>
      <c r="F880" s="6" t="s">
        <v>3</v>
      </c>
      <c r="G880" s="6" t="s">
        <v>343</v>
      </c>
      <c r="H880" s="6">
        <v>37.72</v>
      </c>
      <c r="I880" s="6" t="s">
        <v>43</v>
      </c>
    </row>
    <row r="881" spans="1:9" x14ac:dyDescent="0.35">
      <c r="A881" s="34">
        <v>45471</v>
      </c>
      <c r="B881" s="34" t="str">
        <f t="shared" si="27"/>
        <v>June</v>
      </c>
      <c r="C881" s="4" t="str">
        <f t="shared" si="26"/>
        <v>Friday</v>
      </c>
      <c r="D881" s="5">
        <v>45471.339294490739</v>
      </c>
      <c r="E881" s="6" t="str" cm="1">
        <f t="array" ref="E881">_xlfn.IFS(HOUR(D881)&gt;=20,"20-24 ",HOUR(D881)&gt;=16,"16-20",HOUR(D881)&gt;=12,"12-16",HOUR(D881)&lt;12,"7-12")</f>
        <v>7-12</v>
      </c>
      <c r="F881" s="6" t="s">
        <v>3</v>
      </c>
      <c r="G881" s="6" t="s">
        <v>155</v>
      </c>
      <c r="H881" s="6">
        <v>27.92</v>
      </c>
      <c r="I881" s="6" t="s">
        <v>28</v>
      </c>
    </row>
    <row r="882" spans="1:9" x14ac:dyDescent="0.35">
      <c r="A882" s="34">
        <v>45471</v>
      </c>
      <c r="B882" s="34" t="str">
        <f t="shared" si="27"/>
        <v>June</v>
      </c>
      <c r="C882" s="4" t="str">
        <f t="shared" si="26"/>
        <v>Friday</v>
      </c>
      <c r="D882" s="5">
        <v>45471.744374918984</v>
      </c>
      <c r="E882" s="6" t="str" cm="1">
        <f t="array" ref="E882">_xlfn.IFS(HOUR(D882)&gt;=20,"20-24 ",HOUR(D882)&gt;=16,"16-20",HOUR(D882)&gt;=12,"12-16",HOUR(D882)&lt;12,"7-12")</f>
        <v>16-20</v>
      </c>
      <c r="F882" s="6" t="s">
        <v>3</v>
      </c>
      <c r="G882" s="6" t="s">
        <v>288</v>
      </c>
      <c r="H882" s="6">
        <v>23.02</v>
      </c>
      <c r="I882" s="6" t="s">
        <v>35</v>
      </c>
    </row>
    <row r="883" spans="1:9" x14ac:dyDescent="0.35">
      <c r="A883" s="34">
        <v>45471</v>
      </c>
      <c r="B883" s="34" t="str">
        <f t="shared" si="27"/>
        <v>June</v>
      </c>
      <c r="C883" s="4" t="str">
        <f t="shared" si="26"/>
        <v>Friday</v>
      </c>
      <c r="D883" s="5">
        <v>45471.910363136572</v>
      </c>
      <c r="E883" s="6" t="str" cm="1">
        <f t="array" ref="E883">_xlfn.IFS(HOUR(D883)&gt;=20,"20-24 ",HOUR(D883)&gt;=16,"16-20",HOUR(D883)&gt;=12,"12-16",HOUR(D883)&lt;12,"7-12")</f>
        <v xml:space="preserve">20-24 </v>
      </c>
      <c r="F883" s="6" t="s">
        <v>3</v>
      </c>
      <c r="G883" s="6" t="s">
        <v>344</v>
      </c>
      <c r="H883" s="6">
        <v>32.82</v>
      </c>
      <c r="I883" s="6" t="s">
        <v>14</v>
      </c>
    </row>
    <row r="884" spans="1:9" x14ac:dyDescent="0.35">
      <c r="A884" s="34">
        <v>45471</v>
      </c>
      <c r="B884" s="34" t="str">
        <f t="shared" si="27"/>
        <v>June</v>
      </c>
      <c r="C884" s="4" t="str">
        <f t="shared" si="26"/>
        <v>Friday</v>
      </c>
      <c r="D884" s="5">
        <v>45471.911132719906</v>
      </c>
      <c r="E884" s="6" t="str" cm="1">
        <f t="array" ref="E884">_xlfn.IFS(HOUR(D884)&gt;=20,"20-24 ",HOUR(D884)&gt;=16,"16-20",HOUR(D884)&gt;=12,"12-16",HOUR(D884)&lt;12,"7-12")</f>
        <v xml:space="preserve">20-24 </v>
      </c>
      <c r="F884" s="6" t="s">
        <v>3</v>
      </c>
      <c r="G884" s="6" t="s">
        <v>345</v>
      </c>
      <c r="H884" s="6">
        <v>37.72</v>
      </c>
      <c r="I884" s="6" t="s">
        <v>7</v>
      </c>
    </row>
    <row r="885" spans="1:9" x14ac:dyDescent="0.35">
      <c r="A885" s="34">
        <v>45471</v>
      </c>
      <c r="B885" s="34" t="str">
        <f t="shared" si="27"/>
        <v>June</v>
      </c>
      <c r="C885" s="4" t="str">
        <f t="shared" si="26"/>
        <v>Friday</v>
      </c>
      <c r="D885" s="5">
        <v>45471.936342314817</v>
      </c>
      <c r="E885" s="6" t="str" cm="1">
        <f t="array" ref="E885">_xlfn.IFS(HOUR(D885)&gt;=20,"20-24 ",HOUR(D885)&gt;=16,"16-20",HOUR(D885)&gt;=12,"12-16",HOUR(D885)&lt;12,"7-12")</f>
        <v xml:space="preserve">20-24 </v>
      </c>
      <c r="F885" s="6" t="s">
        <v>3</v>
      </c>
      <c r="G885" s="6" t="s">
        <v>346</v>
      </c>
      <c r="H885" s="6">
        <v>37.72</v>
      </c>
      <c r="I885" s="6" t="s">
        <v>43</v>
      </c>
    </row>
    <row r="886" spans="1:9" x14ac:dyDescent="0.35">
      <c r="A886" s="34">
        <v>45472</v>
      </c>
      <c r="B886" s="34" t="str">
        <f t="shared" si="27"/>
        <v>June</v>
      </c>
      <c r="C886" s="4" t="str">
        <f t="shared" si="26"/>
        <v>Saturday</v>
      </c>
      <c r="D886" s="5">
        <v>45472.407758148147</v>
      </c>
      <c r="E886" s="6" t="str" cm="1">
        <f t="array" ref="E886">_xlfn.IFS(HOUR(D886)&gt;=20,"20-24 ",HOUR(D886)&gt;=16,"16-20",HOUR(D886)&gt;=12,"12-16",HOUR(D886)&lt;12,"7-12")</f>
        <v>7-12</v>
      </c>
      <c r="F886" s="6" t="s">
        <v>3</v>
      </c>
      <c r="G886" s="6" t="s">
        <v>111</v>
      </c>
      <c r="H886" s="6">
        <v>32.82</v>
      </c>
      <c r="I886" s="6" t="s">
        <v>14</v>
      </c>
    </row>
    <row r="887" spans="1:9" x14ac:dyDescent="0.35">
      <c r="A887" s="34">
        <v>45472</v>
      </c>
      <c r="B887" s="34" t="str">
        <f t="shared" si="27"/>
        <v>June</v>
      </c>
      <c r="C887" s="4" t="str">
        <f t="shared" si="26"/>
        <v>Saturday</v>
      </c>
      <c r="D887" s="5">
        <v>45472.486337754628</v>
      </c>
      <c r="E887" s="6" t="str" cm="1">
        <f t="array" ref="E887">_xlfn.IFS(HOUR(D887)&gt;=20,"20-24 ",HOUR(D887)&gt;=16,"16-20",HOUR(D887)&gt;=12,"12-16",HOUR(D887)&lt;12,"7-12")</f>
        <v>7-12</v>
      </c>
      <c r="F887" s="6" t="s">
        <v>3</v>
      </c>
      <c r="G887" s="6" t="s">
        <v>347</v>
      </c>
      <c r="H887" s="6">
        <v>32.82</v>
      </c>
      <c r="I887" s="6" t="s">
        <v>14</v>
      </c>
    </row>
    <row r="888" spans="1:9" x14ac:dyDescent="0.35">
      <c r="A888" s="34">
        <v>45472</v>
      </c>
      <c r="B888" s="34" t="str">
        <f t="shared" si="27"/>
        <v>June</v>
      </c>
      <c r="C888" s="4" t="str">
        <f t="shared" si="26"/>
        <v>Saturday</v>
      </c>
      <c r="D888" s="5">
        <v>45472.487113530093</v>
      </c>
      <c r="E888" s="6" t="str" cm="1">
        <f t="array" ref="E888">_xlfn.IFS(HOUR(D888)&gt;=20,"20-24 ",HOUR(D888)&gt;=16,"16-20",HOUR(D888)&gt;=12,"12-16",HOUR(D888)&lt;12,"7-12")</f>
        <v>7-12</v>
      </c>
      <c r="F888" s="6" t="s">
        <v>3</v>
      </c>
      <c r="G888" s="6" t="s">
        <v>347</v>
      </c>
      <c r="H888" s="6">
        <v>32.82</v>
      </c>
      <c r="I888" s="6" t="s">
        <v>14</v>
      </c>
    </row>
    <row r="889" spans="1:9" x14ac:dyDescent="0.35">
      <c r="A889" s="34">
        <v>45472</v>
      </c>
      <c r="B889" s="34" t="str">
        <f t="shared" si="27"/>
        <v>June</v>
      </c>
      <c r="C889" s="4" t="str">
        <f t="shared" si="26"/>
        <v>Saturday</v>
      </c>
      <c r="D889" s="5">
        <v>45472.521115254633</v>
      </c>
      <c r="E889" s="6" t="str" cm="1">
        <f t="array" ref="E889">_xlfn.IFS(HOUR(D889)&gt;=20,"20-24 ",HOUR(D889)&gt;=16,"16-20",HOUR(D889)&gt;=12,"12-16",HOUR(D889)&lt;12,"7-12")</f>
        <v>12-16</v>
      </c>
      <c r="F889" s="6" t="s">
        <v>3</v>
      </c>
      <c r="G889" s="6" t="s">
        <v>348</v>
      </c>
      <c r="H889" s="6">
        <v>37.72</v>
      </c>
      <c r="I889" s="6" t="s">
        <v>43</v>
      </c>
    </row>
    <row r="890" spans="1:9" x14ac:dyDescent="0.35">
      <c r="A890" s="34">
        <v>45472</v>
      </c>
      <c r="B890" s="34" t="str">
        <f t="shared" si="27"/>
        <v>June</v>
      </c>
      <c r="C890" s="4" t="str">
        <f t="shared" si="26"/>
        <v>Saturday</v>
      </c>
      <c r="D890" s="5">
        <v>45472.522020625001</v>
      </c>
      <c r="E890" s="6" t="str" cm="1">
        <f t="array" ref="E890">_xlfn.IFS(HOUR(D890)&gt;=20,"20-24 ",HOUR(D890)&gt;=16,"16-20",HOUR(D890)&gt;=12,"12-16",HOUR(D890)&lt;12,"7-12")</f>
        <v>12-16</v>
      </c>
      <c r="F890" s="6" t="s">
        <v>3</v>
      </c>
      <c r="G890" s="6" t="s">
        <v>348</v>
      </c>
      <c r="H890" s="6">
        <v>37.72</v>
      </c>
      <c r="I890" s="6" t="s">
        <v>43</v>
      </c>
    </row>
    <row r="891" spans="1:9" x14ac:dyDescent="0.35">
      <c r="A891" s="34">
        <v>45472</v>
      </c>
      <c r="B891" s="34" t="str">
        <f t="shared" si="27"/>
        <v>June</v>
      </c>
      <c r="C891" s="4" t="str">
        <f t="shared" si="26"/>
        <v>Saturday</v>
      </c>
      <c r="D891" s="5">
        <v>45472.724809988424</v>
      </c>
      <c r="E891" s="6" t="str" cm="1">
        <f t="array" ref="E891">_xlfn.IFS(HOUR(D891)&gt;=20,"20-24 ",HOUR(D891)&gt;=16,"16-20",HOUR(D891)&gt;=12,"12-16",HOUR(D891)&lt;12,"7-12")</f>
        <v>16-20</v>
      </c>
      <c r="F891" s="6" t="s">
        <v>3</v>
      </c>
      <c r="G891" s="6" t="s">
        <v>349</v>
      </c>
      <c r="H891" s="6">
        <v>37.72</v>
      </c>
      <c r="I891" s="6" t="s">
        <v>43</v>
      </c>
    </row>
    <row r="892" spans="1:9" x14ac:dyDescent="0.35">
      <c r="A892" s="34">
        <v>45472</v>
      </c>
      <c r="B892" s="34" t="str">
        <f t="shared" si="27"/>
        <v>June</v>
      </c>
      <c r="C892" s="4" t="str">
        <f t="shared" si="26"/>
        <v>Saturday</v>
      </c>
      <c r="D892" s="5">
        <v>45472.725606215281</v>
      </c>
      <c r="E892" s="6" t="str" cm="1">
        <f t="array" ref="E892">_xlfn.IFS(HOUR(D892)&gt;=20,"20-24 ",HOUR(D892)&gt;=16,"16-20",HOUR(D892)&gt;=12,"12-16",HOUR(D892)&lt;12,"7-12")</f>
        <v>16-20</v>
      </c>
      <c r="F892" s="6" t="s">
        <v>3</v>
      </c>
      <c r="G892" s="6" t="s">
        <v>349</v>
      </c>
      <c r="H892" s="6">
        <v>37.72</v>
      </c>
      <c r="I892" s="6" t="s">
        <v>9</v>
      </c>
    </row>
    <row r="893" spans="1:9" x14ac:dyDescent="0.35">
      <c r="A893" s="34">
        <v>45472</v>
      </c>
      <c r="B893" s="34" t="str">
        <f t="shared" si="27"/>
        <v>June</v>
      </c>
      <c r="C893" s="4" t="str">
        <f t="shared" si="26"/>
        <v>Saturday</v>
      </c>
      <c r="D893" s="5">
        <v>45472.894009826392</v>
      </c>
      <c r="E893" s="6" t="str" cm="1">
        <f t="array" ref="E893">_xlfn.IFS(HOUR(D893)&gt;=20,"20-24 ",HOUR(D893)&gt;=16,"16-20",HOUR(D893)&gt;=12,"12-16",HOUR(D893)&lt;12,"7-12")</f>
        <v xml:space="preserve">20-24 </v>
      </c>
      <c r="F893" s="6" t="s">
        <v>3</v>
      </c>
      <c r="G893" s="6" t="s">
        <v>19</v>
      </c>
      <c r="H893" s="6">
        <v>37.72</v>
      </c>
      <c r="I893" s="6" t="s">
        <v>7</v>
      </c>
    </row>
    <row r="894" spans="1:9" x14ac:dyDescent="0.35">
      <c r="A894" s="34">
        <v>45473</v>
      </c>
      <c r="B894" s="34" t="str">
        <f t="shared" si="27"/>
        <v>June</v>
      </c>
      <c r="C894" s="4" t="str">
        <f t="shared" si="26"/>
        <v>Sunday</v>
      </c>
      <c r="D894" s="5">
        <v>45473.43622502315</v>
      </c>
      <c r="E894" s="6" t="str" cm="1">
        <f t="array" ref="E894">_xlfn.IFS(HOUR(D894)&gt;=20,"20-24 ",HOUR(D894)&gt;=16,"16-20",HOUR(D894)&gt;=12,"12-16",HOUR(D894)&lt;12,"7-12")</f>
        <v>7-12</v>
      </c>
      <c r="F894" s="6" t="s">
        <v>3</v>
      </c>
      <c r="G894" s="6" t="s">
        <v>350</v>
      </c>
      <c r="H894" s="6">
        <v>37.72</v>
      </c>
      <c r="I894" s="6" t="s">
        <v>7</v>
      </c>
    </row>
    <row r="895" spans="1:9" x14ac:dyDescent="0.35">
      <c r="A895" s="34">
        <v>45473</v>
      </c>
      <c r="B895" s="34" t="str">
        <f t="shared" si="27"/>
        <v>June</v>
      </c>
      <c r="C895" s="4" t="str">
        <f t="shared" si="26"/>
        <v>Sunday</v>
      </c>
      <c r="D895" s="5">
        <v>45473.545724768519</v>
      </c>
      <c r="E895" s="6" t="str" cm="1">
        <f t="array" ref="E895">_xlfn.IFS(HOUR(D895)&gt;=20,"20-24 ",HOUR(D895)&gt;=16,"16-20",HOUR(D895)&gt;=12,"12-16",HOUR(D895)&lt;12,"7-12")</f>
        <v>12-16</v>
      </c>
      <c r="F895" s="6" t="s">
        <v>3</v>
      </c>
      <c r="G895" s="6" t="s">
        <v>351</v>
      </c>
      <c r="H895" s="6">
        <v>23.02</v>
      </c>
      <c r="I895" s="6" t="s">
        <v>35</v>
      </c>
    </row>
    <row r="896" spans="1:9" x14ac:dyDescent="0.35">
      <c r="A896" s="34">
        <v>45473</v>
      </c>
      <c r="B896" s="34" t="str">
        <f t="shared" si="27"/>
        <v>June</v>
      </c>
      <c r="C896" s="4" t="str">
        <f t="shared" si="26"/>
        <v>Sunday</v>
      </c>
      <c r="D896" s="5">
        <v>45473.7046490625</v>
      </c>
      <c r="E896" s="6" t="str" cm="1">
        <f t="array" ref="E896">_xlfn.IFS(HOUR(D896)&gt;=20,"20-24 ",HOUR(D896)&gt;=16,"16-20",HOUR(D896)&gt;=12,"12-16",HOUR(D896)&lt;12,"7-12")</f>
        <v>16-20</v>
      </c>
      <c r="F896" s="6" t="s">
        <v>3</v>
      </c>
      <c r="G896" s="6" t="s">
        <v>19</v>
      </c>
      <c r="H896" s="6">
        <v>37.72</v>
      </c>
      <c r="I896" s="6" t="s">
        <v>9</v>
      </c>
    </row>
    <row r="897" spans="1:9" x14ac:dyDescent="0.35">
      <c r="A897" s="34">
        <v>45473</v>
      </c>
      <c r="B897" s="34" t="str">
        <f t="shared" si="27"/>
        <v>June</v>
      </c>
      <c r="C897" s="4" t="str">
        <f t="shared" si="26"/>
        <v>Sunday</v>
      </c>
      <c r="D897" s="5">
        <v>45473.877890578704</v>
      </c>
      <c r="E897" s="6" t="str" cm="1">
        <f t="array" ref="E897">_xlfn.IFS(HOUR(D897)&gt;=20,"20-24 ",HOUR(D897)&gt;=16,"16-20",HOUR(D897)&gt;=12,"12-16",HOUR(D897)&lt;12,"7-12")</f>
        <v xml:space="preserve">20-24 </v>
      </c>
      <c r="F897" s="6" t="s">
        <v>3</v>
      </c>
      <c r="G897" s="6" t="s">
        <v>111</v>
      </c>
      <c r="H897" s="6">
        <v>32.82</v>
      </c>
      <c r="I897" s="6" t="s">
        <v>14</v>
      </c>
    </row>
    <row r="898" spans="1:9" x14ac:dyDescent="0.35">
      <c r="A898" s="34">
        <v>45474</v>
      </c>
      <c r="B898" s="34" t="str">
        <f t="shared" si="27"/>
        <v>July</v>
      </c>
      <c r="C898" s="4" t="str">
        <f t="shared" ref="C898:C961" si="28">TEXT(A898,"ddddddddd")</f>
        <v>Monday</v>
      </c>
      <c r="D898" s="5">
        <v>45474.755170833334</v>
      </c>
      <c r="E898" s="6" t="str" cm="1">
        <f t="array" ref="E898">_xlfn.IFS(HOUR(D898)&gt;=20,"20-24 ",HOUR(D898)&gt;=16,"16-20",HOUR(D898)&gt;=12,"12-16",HOUR(D898)&lt;12,"7-12")</f>
        <v>16-20</v>
      </c>
      <c r="F898" s="6" t="s">
        <v>3</v>
      </c>
      <c r="G898" s="6" t="s">
        <v>23</v>
      </c>
      <c r="H898" s="6">
        <v>23.02</v>
      </c>
      <c r="I898" s="6" t="s">
        <v>35</v>
      </c>
    </row>
    <row r="899" spans="1:9" x14ac:dyDescent="0.35">
      <c r="A899" s="34">
        <v>45474</v>
      </c>
      <c r="B899" s="34" t="str">
        <f t="shared" ref="B899:B962" si="29">TEXT(A899, "mmmm")</f>
        <v>July</v>
      </c>
      <c r="C899" s="4" t="str">
        <f t="shared" si="28"/>
        <v>Monday</v>
      </c>
      <c r="D899" s="5">
        <v>45474.789488935188</v>
      </c>
      <c r="E899" s="6" t="str" cm="1">
        <f t="array" ref="E899">_xlfn.IFS(HOUR(D899)&gt;=20,"20-24 ",HOUR(D899)&gt;=16,"16-20",HOUR(D899)&gt;=12,"12-16",HOUR(D899)&lt;12,"7-12")</f>
        <v>16-20</v>
      </c>
      <c r="F899" s="6" t="s">
        <v>3</v>
      </c>
      <c r="G899" s="6" t="s">
        <v>352</v>
      </c>
      <c r="H899" s="6">
        <v>37.72</v>
      </c>
      <c r="I899" s="6" t="s">
        <v>43</v>
      </c>
    </row>
    <row r="900" spans="1:9" x14ac:dyDescent="0.35">
      <c r="A900" s="34">
        <v>45474</v>
      </c>
      <c r="B900" s="34" t="str">
        <f t="shared" si="29"/>
        <v>July</v>
      </c>
      <c r="C900" s="4" t="str">
        <f t="shared" si="28"/>
        <v>Monday</v>
      </c>
      <c r="D900" s="5">
        <v>45474.790211423613</v>
      </c>
      <c r="E900" s="6" t="str" cm="1">
        <f t="array" ref="E900">_xlfn.IFS(HOUR(D900)&gt;=20,"20-24 ",HOUR(D900)&gt;=16,"16-20",HOUR(D900)&gt;=12,"12-16",HOUR(D900)&lt;12,"7-12")</f>
        <v>16-20</v>
      </c>
      <c r="F900" s="6" t="s">
        <v>3</v>
      </c>
      <c r="G900" s="6" t="s">
        <v>353</v>
      </c>
      <c r="H900" s="6">
        <v>37.72</v>
      </c>
      <c r="I900" s="6" t="s">
        <v>43</v>
      </c>
    </row>
    <row r="901" spans="1:9" x14ac:dyDescent="0.35">
      <c r="A901" s="34">
        <v>45475</v>
      </c>
      <c r="B901" s="34" t="str">
        <f t="shared" si="29"/>
        <v>July</v>
      </c>
      <c r="C901" s="4" t="str">
        <f t="shared" si="28"/>
        <v>Tuesday</v>
      </c>
      <c r="D901" s="5">
        <v>45475.446458993058</v>
      </c>
      <c r="E901" s="6" t="str" cm="1">
        <f t="array" ref="E901">_xlfn.IFS(HOUR(D901)&gt;=20,"20-24 ",HOUR(D901)&gt;=16,"16-20",HOUR(D901)&gt;=12,"12-16",HOUR(D901)&lt;12,"7-12")</f>
        <v>7-12</v>
      </c>
      <c r="F901" s="6" t="s">
        <v>3</v>
      </c>
      <c r="G901" s="6" t="s">
        <v>318</v>
      </c>
      <c r="H901" s="6">
        <v>32.82</v>
      </c>
      <c r="I901" s="6" t="s">
        <v>14</v>
      </c>
    </row>
    <row r="902" spans="1:9" x14ac:dyDescent="0.35">
      <c r="A902" s="34">
        <v>45475</v>
      </c>
      <c r="B902" s="34" t="str">
        <f t="shared" si="29"/>
        <v>July</v>
      </c>
      <c r="C902" s="4" t="str">
        <f t="shared" si="28"/>
        <v>Tuesday</v>
      </c>
      <c r="D902" s="5">
        <v>45475.447923807871</v>
      </c>
      <c r="E902" s="6" t="str" cm="1">
        <f t="array" ref="E902">_xlfn.IFS(HOUR(D902)&gt;=20,"20-24 ",HOUR(D902)&gt;=16,"16-20",HOUR(D902)&gt;=12,"12-16",HOUR(D902)&lt;12,"7-12")</f>
        <v>7-12</v>
      </c>
      <c r="F902" s="6" t="s">
        <v>3</v>
      </c>
      <c r="G902" s="6" t="s">
        <v>318</v>
      </c>
      <c r="H902" s="6">
        <v>27.92</v>
      </c>
      <c r="I902" s="6" t="s">
        <v>11</v>
      </c>
    </row>
    <row r="903" spans="1:9" x14ac:dyDescent="0.35">
      <c r="A903" s="34">
        <v>45475</v>
      </c>
      <c r="B903" s="34" t="str">
        <f t="shared" si="29"/>
        <v>July</v>
      </c>
      <c r="C903" s="4" t="str">
        <f t="shared" si="28"/>
        <v>Tuesday</v>
      </c>
      <c r="D903" s="5">
        <v>45475.53339329861</v>
      </c>
      <c r="E903" s="6" t="str" cm="1">
        <f t="array" ref="E903">_xlfn.IFS(HOUR(D903)&gt;=20,"20-24 ",HOUR(D903)&gt;=16,"16-20",HOUR(D903)&gt;=12,"12-16",HOUR(D903)&lt;12,"7-12")</f>
        <v>12-16</v>
      </c>
      <c r="F903" s="6" t="s">
        <v>3</v>
      </c>
      <c r="G903" s="6" t="s">
        <v>31</v>
      </c>
      <c r="H903" s="6">
        <v>37.72</v>
      </c>
      <c r="I903" s="6" t="s">
        <v>7</v>
      </c>
    </row>
    <row r="904" spans="1:9" x14ac:dyDescent="0.35">
      <c r="A904" s="34">
        <v>45475</v>
      </c>
      <c r="B904" s="34" t="str">
        <f t="shared" si="29"/>
        <v>July</v>
      </c>
      <c r="C904" s="4" t="str">
        <f t="shared" si="28"/>
        <v>Tuesday</v>
      </c>
      <c r="D904" s="5">
        <v>45475.585569803239</v>
      </c>
      <c r="E904" s="6" t="str" cm="1">
        <f t="array" ref="E904">_xlfn.IFS(HOUR(D904)&gt;=20,"20-24 ",HOUR(D904)&gt;=16,"16-20",HOUR(D904)&gt;=12,"12-16",HOUR(D904)&lt;12,"7-12")</f>
        <v>12-16</v>
      </c>
      <c r="F904" s="6" t="s">
        <v>3</v>
      </c>
      <c r="G904" s="6" t="s">
        <v>354</v>
      </c>
      <c r="H904" s="6">
        <v>27.92</v>
      </c>
      <c r="I904" s="6" t="s">
        <v>11</v>
      </c>
    </row>
    <row r="905" spans="1:9" x14ac:dyDescent="0.35">
      <c r="A905" s="34">
        <v>45475</v>
      </c>
      <c r="B905" s="34" t="str">
        <f t="shared" si="29"/>
        <v>July</v>
      </c>
      <c r="C905" s="4" t="str">
        <f t="shared" si="28"/>
        <v>Tuesday</v>
      </c>
      <c r="D905" s="5">
        <v>45475.688476122683</v>
      </c>
      <c r="E905" s="6" t="str" cm="1">
        <f t="array" ref="E905">_xlfn.IFS(HOUR(D905)&gt;=20,"20-24 ",HOUR(D905)&gt;=16,"16-20",HOUR(D905)&gt;=12,"12-16",HOUR(D905)&lt;12,"7-12")</f>
        <v>16-20</v>
      </c>
      <c r="F905" s="6" t="s">
        <v>3</v>
      </c>
      <c r="G905" s="6" t="s">
        <v>355</v>
      </c>
      <c r="H905" s="6">
        <v>32.82</v>
      </c>
      <c r="I905" s="6" t="s">
        <v>14</v>
      </c>
    </row>
    <row r="906" spans="1:9" x14ac:dyDescent="0.35">
      <c r="A906" s="34">
        <v>45475</v>
      </c>
      <c r="B906" s="34" t="str">
        <f t="shared" si="29"/>
        <v>July</v>
      </c>
      <c r="C906" s="4" t="str">
        <f t="shared" si="28"/>
        <v>Tuesday</v>
      </c>
      <c r="D906" s="5">
        <v>45475.918328425927</v>
      </c>
      <c r="E906" s="6" t="str" cm="1">
        <f t="array" ref="E906">_xlfn.IFS(HOUR(D906)&gt;=20,"20-24 ",HOUR(D906)&gt;=16,"16-20",HOUR(D906)&gt;=12,"12-16",HOUR(D906)&lt;12,"7-12")</f>
        <v xml:space="preserve">20-24 </v>
      </c>
      <c r="F906" s="6" t="s">
        <v>3</v>
      </c>
      <c r="G906" s="6" t="s">
        <v>343</v>
      </c>
      <c r="H906" s="6">
        <v>32.82</v>
      </c>
      <c r="I906" s="6" t="s">
        <v>14</v>
      </c>
    </row>
    <row r="907" spans="1:9" x14ac:dyDescent="0.35">
      <c r="A907" s="34">
        <v>45476</v>
      </c>
      <c r="B907" s="34" t="str">
        <f t="shared" si="29"/>
        <v>July</v>
      </c>
      <c r="C907" s="4" t="str">
        <f t="shared" si="28"/>
        <v>Wednesday</v>
      </c>
      <c r="D907" s="5">
        <v>45476.577256192133</v>
      </c>
      <c r="E907" s="6" t="str" cm="1">
        <f t="array" ref="E907">_xlfn.IFS(HOUR(D907)&gt;=20,"20-24 ",HOUR(D907)&gt;=16,"16-20",HOUR(D907)&gt;=12,"12-16",HOUR(D907)&lt;12,"7-12")</f>
        <v>12-16</v>
      </c>
      <c r="F907" s="6" t="s">
        <v>3</v>
      </c>
      <c r="G907" s="6" t="s">
        <v>23</v>
      </c>
      <c r="H907" s="6">
        <v>32.82</v>
      </c>
      <c r="I907" s="6" t="s">
        <v>14</v>
      </c>
    </row>
    <row r="908" spans="1:9" x14ac:dyDescent="0.35">
      <c r="A908" s="34">
        <v>45476</v>
      </c>
      <c r="B908" s="34" t="str">
        <f t="shared" si="29"/>
        <v>July</v>
      </c>
      <c r="C908" s="4" t="str">
        <f t="shared" si="28"/>
        <v>Wednesday</v>
      </c>
      <c r="D908" s="5">
        <v>45476.667552708335</v>
      </c>
      <c r="E908" s="6" t="str" cm="1">
        <f t="array" ref="E908">_xlfn.IFS(HOUR(D908)&gt;=20,"20-24 ",HOUR(D908)&gt;=16,"16-20",HOUR(D908)&gt;=12,"12-16",HOUR(D908)&lt;12,"7-12")</f>
        <v>16-20</v>
      </c>
      <c r="F908" s="6" t="s">
        <v>3</v>
      </c>
      <c r="G908" s="6" t="s">
        <v>356</v>
      </c>
      <c r="H908" s="6">
        <v>37.72</v>
      </c>
      <c r="I908" s="6" t="s">
        <v>43</v>
      </c>
    </row>
    <row r="909" spans="1:9" x14ac:dyDescent="0.35">
      <c r="A909" s="34">
        <v>45476</v>
      </c>
      <c r="B909" s="34" t="str">
        <f t="shared" si="29"/>
        <v>July</v>
      </c>
      <c r="C909" s="4" t="str">
        <f t="shared" si="28"/>
        <v>Wednesday</v>
      </c>
      <c r="D909" s="5">
        <v>45476.70168082176</v>
      </c>
      <c r="E909" s="6" t="str" cm="1">
        <f t="array" ref="E909">_xlfn.IFS(HOUR(D909)&gt;=20,"20-24 ",HOUR(D909)&gt;=16,"16-20",HOUR(D909)&gt;=12,"12-16",HOUR(D909)&lt;12,"7-12")</f>
        <v>16-20</v>
      </c>
      <c r="F909" s="6" t="s">
        <v>3</v>
      </c>
      <c r="G909" s="6" t="s">
        <v>357</v>
      </c>
      <c r="H909" s="6">
        <v>37.72</v>
      </c>
      <c r="I909" s="6" t="s">
        <v>43</v>
      </c>
    </row>
    <row r="910" spans="1:9" x14ac:dyDescent="0.35">
      <c r="A910" s="34">
        <v>45476</v>
      </c>
      <c r="B910" s="34" t="str">
        <f t="shared" si="29"/>
        <v>July</v>
      </c>
      <c r="C910" s="4" t="str">
        <f t="shared" si="28"/>
        <v>Wednesday</v>
      </c>
      <c r="D910" s="5">
        <v>45476.703652986114</v>
      </c>
      <c r="E910" s="6" t="str" cm="1">
        <f t="array" ref="E910">_xlfn.IFS(HOUR(D910)&gt;=20,"20-24 ",HOUR(D910)&gt;=16,"16-20",HOUR(D910)&gt;=12,"12-16",HOUR(D910)&lt;12,"7-12")</f>
        <v>16-20</v>
      </c>
      <c r="F910" s="6" t="s">
        <v>3</v>
      </c>
      <c r="G910" s="6" t="s">
        <v>284</v>
      </c>
      <c r="H910" s="6">
        <v>32.82</v>
      </c>
      <c r="I910" s="6" t="s">
        <v>14</v>
      </c>
    </row>
    <row r="911" spans="1:9" x14ac:dyDescent="0.35">
      <c r="A911" s="34">
        <v>45476</v>
      </c>
      <c r="B911" s="34" t="str">
        <f t="shared" si="29"/>
        <v>July</v>
      </c>
      <c r="C911" s="4" t="str">
        <f t="shared" si="28"/>
        <v>Wednesday</v>
      </c>
      <c r="D911" s="5">
        <v>45476.70443179398</v>
      </c>
      <c r="E911" s="6" t="str" cm="1">
        <f t="array" ref="E911">_xlfn.IFS(HOUR(D911)&gt;=20,"20-24 ",HOUR(D911)&gt;=16,"16-20",HOUR(D911)&gt;=12,"12-16",HOUR(D911)&lt;12,"7-12")</f>
        <v>16-20</v>
      </c>
      <c r="F911" s="6" t="s">
        <v>3</v>
      </c>
      <c r="G911" s="6" t="s">
        <v>358</v>
      </c>
      <c r="H911" s="6">
        <v>32.82</v>
      </c>
      <c r="I911" s="6" t="s">
        <v>14</v>
      </c>
    </row>
    <row r="912" spans="1:9" x14ac:dyDescent="0.35">
      <c r="A912" s="34">
        <v>45476</v>
      </c>
      <c r="B912" s="34" t="str">
        <f t="shared" si="29"/>
        <v>July</v>
      </c>
      <c r="C912" s="4" t="str">
        <f t="shared" si="28"/>
        <v>Wednesday</v>
      </c>
      <c r="D912" s="5">
        <v>45476.705224803241</v>
      </c>
      <c r="E912" s="6" t="str" cm="1">
        <f t="array" ref="E912">_xlfn.IFS(HOUR(D912)&gt;=20,"20-24 ",HOUR(D912)&gt;=16,"16-20",HOUR(D912)&gt;=12,"12-16",HOUR(D912)&lt;12,"7-12")</f>
        <v>16-20</v>
      </c>
      <c r="F912" s="6" t="s">
        <v>3</v>
      </c>
      <c r="G912" s="6" t="s">
        <v>284</v>
      </c>
      <c r="H912" s="6">
        <v>37.72</v>
      </c>
      <c r="I912" s="6" t="s">
        <v>7</v>
      </c>
    </row>
    <row r="913" spans="1:9" x14ac:dyDescent="0.35">
      <c r="A913" s="34">
        <v>45476</v>
      </c>
      <c r="B913" s="34" t="str">
        <f t="shared" si="29"/>
        <v>July</v>
      </c>
      <c r="C913" s="4" t="str">
        <f t="shared" si="28"/>
        <v>Wednesday</v>
      </c>
      <c r="D913" s="5">
        <v>45476.707934953702</v>
      </c>
      <c r="E913" s="6" t="str" cm="1">
        <f t="array" ref="E913">_xlfn.IFS(HOUR(D913)&gt;=20,"20-24 ",HOUR(D913)&gt;=16,"16-20",HOUR(D913)&gt;=12,"12-16",HOUR(D913)&lt;12,"7-12")</f>
        <v>16-20</v>
      </c>
      <c r="F913" s="6" t="s">
        <v>3</v>
      </c>
      <c r="G913" s="6" t="s">
        <v>359</v>
      </c>
      <c r="H913" s="6">
        <v>23.02</v>
      </c>
      <c r="I913" s="6" t="s">
        <v>35</v>
      </c>
    </row>
    <row r="914" spans="1:9" x14ac:dyDescent="0.35">
      <c r="A914" s="34">
        <v>45476</v>
      </c>
      <c r="B914" s="34" t="str">
        <f t="shared" si="29"/>
        <v>July</v>
      </c>
      <c r="C914" s="4" t="str">
        <f t="shared" si="28"/>
        <v>Wednesday</v>
      </c>
      <c r="D914" s="5">
        <v>45476.749326701392</v>
      </c>
      <c r="E914" s="6" t="str" cm="1">
        <f t="array" ref="E914">_xlfn.IFS(HOUR(D914)&gt;=20,"20-24 ",HOUR(D914)&gt;=16,"16-20",HOUR(D914)&gt;=12,"12-16",HOUR(D914)&lt;12,"7-12")</f>
        <v>16-20</v>
      </c>
      <c r="F914" s="6" t="s">
        <v>3</v>
      </c>
      <c r="G914" s="6" t="s">
        <v>360</v>
      </c>
      <c r="H914" s="6">
        <v>37.72</v>
      </c>
      <c r="I914" s="6" t="s">
        <v>43</v>
      </c>
    </row>
    <row r="915" spans="1:9" x14ac:dyDescent="0.35">
      <c r="A915" s="34">
        <v>45476</v>
      </c>
      <c r="B915" s="34" t="str">
        <f t="shared" si="29"/>
        <v>July</v>
      </c>
      <c r="C915" s="4" t="str">
        <f t="shared" si="28"/>
        <v>Wednesday</v>
      </c>
      <c r="D915" s="5">
        <v>45476.795939074073</v>
      </c>
      <c r="E915" s="6" t="str" cm="1">
        <f t="array" ref="E915">_xlfn.IFS(HOUR(D915)&gt;=20,"20-24 ",HOUR(D915)&gt;=16,"16-20",HOUR(D915)&gt;=12,"12-16",HOUR(D915)&lt;12,"7-12")</f>
        <v>16-20</v>
      </c>
      <c r="F915" s="6" t="s">
        <v>3</v>
      </c>
      <c r="G915" s="6" t="s">
        <v>19</v>
      </c>
      <c r="H915" s="6">
        <v>37.72</v>
      </c>
      <c r="I915" s="6" t="s">
        <v>7</v>
      </c>
    </row>
    <row r="916" spans="1:9" x14ac:dyDescent="0.35">
      <c r="A916" s="34">
        <v>45477</v>
      </c>
      <c r="B916" s="34" t="str">
        <f t="shared" si="29"/>
        <v>July</v>
      </c>
      <c r="C916" s="4" t="str">
        <f t="shared" si="28"/>
        <v>Thursday</v>
      </c>
      <c r="D916" s="5">
        <v>45477.43499681713</v>
      </c>
      <c r="E916" s="6" t="str" cm="1">
        <f t="array" ref="E916">_xlfn.IFS(HOUR(D916)&gt;=20,"20-24 ",HOUR(D916)&gt;=16,"16-20",HOUR(D916)&gt;=12,"12-16",HOUR(D916)&lt;12,"7-12")</f>
        <v>7-12</v>
      </c>
      <c r="F916" s="6" t="s">
        <v>3</v>
      </c>
      <c r="G916" s="6" t="s">
        <v>157</v>
      </c>
      <c r="H916" s="6">
        <v>32.82</v>
      </c>
      <c r="I916" s="6" t="s">
        <v>14</v>
      </c>
    </row>
    <row r="917" spans="1:9" x14ac:dyDescent="0.35">
      <c r="A917" s="34">
        <v>45477</v>
      </c>
      <c r="B917" s="34" t="str">
        <f t="shared" si="29"/>
        <v>July</v>
      </c>
      <c r="C917" s="4" t="str">
        <f t="shared" si="28"/>
        <v>Thursday</v>
      </c>
      <c r="D917" s="5">
        <v>45477.435766909723</v>
      </c>
      <c r="E917" s="6" t="str" cm="1">
        <f t="array" ref="E917">_xlfn.IFS(HOUR(D917)&gt;=20,"20-24 ",HOUR(D917)&gt;=16,"16-20",HOUR(D917)&gt;=12,"12-16",HOUR(D917)&lt;12,"7-12")</f>
        <v>7-12</v>
      </c>
      <c r="F917" s="6" t="s">
        <v>3</v>
      </c>
      <c r="G917" s="6" t="s">
        <v>23</v>
      </c>
      <c r="H917" s="6">
        <v>27.92</v>
      </c>
      <c r="I917" s="6" t="s">
        <v>11</v>
      </c>
    </row>
    <row r="918" spans="1:9" x14ac:dyDescent="0.35">
      <c r="A918" s="34">
        <v>45478</v>
      </c>
      <c r="B918" s="34" t="str">
        <f t="shared" si="29"/>
        <v>July</v>
      </c>
      <c r="C918" s="4" t="str">
        <f t="shared" si="28"/>
        <v>Friday</v>
      </c>
      <c r="D918" s="5">
        <v>45478.514220717596</v>
      </c>
      <c r="E918" s="6" t="str" cm="1">
        <f t="array" ref="E918">_xlfn.IFS(HOUR(D918)&gt;=20,"20-24 ",HOUR(D918)&gt;=16,"16-20",HOUR(D918)&gt;=12,"12-16",HOUR(D918)&lt;12,"7-12")</f>
        <v>12-16</v>
      </c>
      <c r="F918" s="6" t="s">
        <v>3</v>
      </c>
      <c r="G918" s="6" t="s">
        <v>72</v>
      </c>
      <c r="H918" s="6">
        <v>37.72</v>
      </c>
      <c r="I918" s="6" t="s">
        <v>18</v>
      </c>
    </row>
    <row r="919" spans="1:9" x14ac:dyDescent="0.35">
      <c r="A919" s="34">
        <v>45478</v>
      </c>
      <c r="B919" s="34" t="str">
        <f t="shared" si="29"/>
        <v>July</v>
      </c>
      <c r="C919" s="4" t="str">
        <f t="shared" si="28"/>
        <v>Friday</v>
      </c>
      <c r="D919" s="5">
        <v>45478.572027013892</v>
      </c>
      <c r="E919" s="6" t="str" cm="1">
        <f t="array" ref="E919">_xlfn.IFS(HOUR(D919)&gt;=20,"20-24 ",HOUR(D919)&gt;=16,"16-20",HOUR(D919)&gt;=12,"12-16",HOUR(D919)&lt;12,"7-12")</f>
        <v>12-16</v>
      </c>
      <c r="F919" s="6" t="s">
        <v>3</v>
      </c>
      <c r="G919" s="6" t="s">
        <v>54</v>
      </c>
      <c r="H919" s="6">
        <v>32.82</v>
      </c>
      <c r="I919" s="6" t="s">
        <v>14</v>
      </c>
    </row>
    <row r="920" spans="1:9" x14ac:dyDescent="0.35">
      <c r="A920" s="34">
        <v>45478</v>
      </c>
      <c r="B920" s="34" t="str">
        <f t="shared" si="29"/>
        <v>July</v>
      </c>
      <c r="C920" s="4" t="str">
        <f t="shared" si="28"/>
        <v>Friday</v>
      </c>
      <c r="D920" s="5">
        <v>45478.572729502317</v>
      </c>
      <c r="E920" s="6" t="str" cm="1">
        <f t="array" ref="E920">_xlfn.IFS(HOUR(D920)&gt;=20,"20-24 ",HOUR(D920)&gt;=16,"16-20",HOUR(D920)&gt;=12,"12-16",HOUR(D920)&lt;12,"7-12")</f>
        <v>12-16</v>
      </c>
      <c r="F920" s="6" t="s">
        <v>3</v>
      </c>
      <c r="G920" s="6" t="s">
        <v>361</v>
      </c>
      <c r="H920" s="6">
        <v>32.82</v>
      </c>
      <c r="I920" s="6" t="s">
        <v>14</v>
      </c>
    </row>
    <row r="921" spans="1:9" x14ac:dyDescent="0.35">
      <c r="A921" s="34">
        <v>45478</v>
      </c>
      <c r="B921" s="34" t="str">
        <f t="shared" si="29"/>
        <v>July</v>
      </c>
      <c r="C921" s="4" t="str">
        <f t="shared" si="28"/>
        <v>Friday</v>
      </c>
      <c r="D921" s="5">
        <v>45478.788846157404</v>
      </c>
      <c r="E921" s="6" t="str" cm="1">
        <f t="array" ref="E921">_xlfn.IFS(HOUR(D921)&gt;=20,"20-24 ",HOUR(D921)&gt;=16,"16-20",HOUR(D921)&gt;=12,"12-16",HOUR(D921)&lt;12,"7-12")</f>
        <v>16-20</v>
      </c>
      <c r="F921" s="6" t="s">
        <v>3</v>
      </c>
      <c r="G921" s="6" t="s">
        <v>362</v>
      </c>
      <c r="H921" s="6">
        <v>23.02</v>
      </c>
      <c r="I921" s="6" t="s">
        <v>35</v>
      </c>
    </row>
    <row r="922" spans="1:9" x14ac:dyDescent="0.35">
      <c r="A922" s="34">
        <v>45478</v>
      </c>
      <c r="B922" s="34" t="str">
        <f t="shared" si="29"/>
        <v>July</v>
      </c>
      <c r="C922" s="4" t="str">
        <f t="shared" si="28"/>
        <v>Friday</v>
      </c>
      <c r="D922" s="5">
        <v>45478.829951527776</v>
      </c>
      <c r="E922" s="6" t="str" cm="1">
        <f t="array" ref="E922">_xlfn.IFS(HOUR(D922)&gt;=20,"20-24 ",HOUR(D922)&gt;=16,"16-20",HOUR(D922)&gt;=12,"12-16",HOUR(D922)&lt;12,"7-12")</f>
        <v>16-20</v>
      </c>
      <c r="F922" s="6" t="s">
        <v>3</v>
      </c>
      <c r="G922" s="6" t="s">
        <v>113</v>
      </c>
      <c r="H922" s="6">
        <v>27.92</v>
      </c>
      <c r="I922" s="6" t="s">
        <v>11</v>
      </c>
    </row>
    <row r="923" spans="1:9" x14ac:dyDescent="0.35">
      <c r="A923" s="34">
        <v>45478</v>
      </c>
      <c r="B923" s="34" t="str">
        <f t="shared" si="29"/>
        <v>July</v>
      </c>
      <c r="C923" s="4" t="str">
        <f t="shared" si="28"/>
        <v>Friday</v>
      </c>
      <c r="D923" s="5">
        <v>45478.924959155091</v>
      </c>
      <c r="E923" s="6" t="str" cm="1">
        <f t="array" ref="E923">_xlfn.IFS(HOUR(D923)&gt;=20,"20-24 ",HOUR(D923)&gt;=16,"16-20",HOUR(D923)&gt;=12,"12-16",HOUR(D923)&lt;12,"7-12")</f>
        <v xml:space="preserve">20-24 </v>
      </c>
      <c r="F923" s="6" t="s">
        <v>3</v>
      </c>
      <c r="G923" s="6" t="s">
        <v>363</v>
      </c>
      <c r="H923" s="6">
        <v>23.02</v>
      </c>
      <c r="I923" s="6" t="s">
        <v>35</v>
      </c>
    </row>
    <row r="924" spans="1:9" x14ac:dyDescent="0.35">
      <c r="A924" s="34">
        <v>45478</v>
      </c>
      <c r="B924" s="34" t="str">
        <f t="shared" si="29"/>
        <v>July</v>
      </c>
      <c r="C924" s="4" t="str">
        <f t="shared" si="28"/>
        <v>Friday</v>
      </c>
      <c r="D924" s="5">
        <v>45478.929205138891</v>
      </c>
      <c r="E924" s="6" t="str" cm="1">
        <f t="array" ref="E924">_xlfn.IFS(HOUR(D924)&gt;=20,"20-24 ",HOUR(D924)&gt;=16,"16-20",HOUR(D924)&gt;=12,"12-16",HOUR(D924)&lt;12,"7-12")</f>
        <v xml:space="preserve">20-24 </v>
      </c>
      <c r="F924" s="6" t="s">
        <v>3</v>
      </c>
      <c r="G924" s="6" t="s">
        <v>364</v>
      </c>
      <c r="H924" s="6">
        <v>27.92</v>
      </c>
      <c r="I924" s="6" t="s">
        <v>11</v>
      </c>
    </row>
    <row r="925" spans="1:9" x14ac:dyDescent="0.35">
      <c r="A925" s="34">
        <v>45478</v>
      </c>
      <c r="B925" s="34" t="str">
        <f t="shared" si="29"/>
        <v>July</v>
      </c>
      <c r="C925" s="4" t="str">
        <f t="shared" si="28"/>
        <v>Friday</v>
      </c>
      <c r="D925" s="5">
        <v>45478.929825752311</v>
      </c>
      <c r="E925" s="6" t="str" cm="1">
        <f t="array" ref="E925">_xlfn.IFS(HOUR(D925)&gt;=20,"20-24 ",HOUR(D925)&gt;=16,"16-20",HOUR(D925)&gt;=12,"12-16",HOUR(D925)&lt;12,"7-12")</f>
        <v xml:space="preserve">20-24 </v>
      </c>
      <c r="F925" s="6" t="s">
        <v>3</v>
      </c>
      <c r="G925" s="6" t="s">
        <v>364</v>
      </c>
      <c r="H925" s="6">
        <v>27.92</v>
      </c>
      <c r="I925" s="6" t="s">
        <v>11</v>
      </c>
    </row>
    <row r="926" spans="1:9" x14ac:dyDescent="0.35">
      <c r="A926" s="34">
        <v>45478</v>
      </c>
      <c r="B926" s="34" t="str">
        <f t="shared" si="29"/>
        <v>July</v>
      </c>
      <c r="C926" s="4" t="str">
        <f t="shared" si="28"/>
        <v>Friday</v>
      </c>
      <c r="D926" s="5">
        <v>45478.930568854164</v>
      </c>
      <c r="E926" s="6" t="str" cm="1">
        <f t="array" ref="E926">_xlfn.IFS(HOUR(D926)&gt;=20,"20-24 ",HOUR(D926)&gt;=16,"16-20",HOUR(D926)&gt;=12,"12-16",HOUR(D926)&lt;12,"7-12")</f>
        <v xml:space="preserve">20-24 </v>
      </c>
      <c r="F926" s="6" t="s">
        <v>3</v>
      </c>
      <c r="G926" s="6" t="s">
        <v>365</v>
      </c>
      <c r="H926" s="6">
        <v>37.72</v>
      </c>
      <c r="I926" s="6" t="s">
        <v>43</v>
      </c>
    </row>
    <row r="927" spans="1:9" x14ac:dyDescent="0.35">
      <c r="A927" s="34">
        <v>45478</v>
      </c>
      <c r="B927" s="34" t="str">
        <f t="shared" si="29"/>
        <v>July</v>
      </c>
      <c r="C927" s="4" t="str">
        <f t="shared" si="28"/>
        <v>Friday</v>
      </c>
      <c r="D927" s="5">
        <v>45478.931359456015</v>
      </c>
      <c r="E927" s="6" t="str" cm="1">
        <f t="array" ref="E927">_xlfn.IFS(HOUR(D927)&gt;=20,"20-24 ",HOUR(D927)&gt;=16,"16-20",HOUR(D927)&gt;=12,"12-16",HOUR(D927)&lt;12,"7-12")</f>
        <v xml:space="preserve">20-24 </v>
      </c>
      <c r="F927" s="6" t="s">
        <v>3</v>
      </c>
      <c r="G927" s="6" t="s">
        <v>365</v>
      </c>
      <c r="H927" s="6">
        <v>32.82</v>
      </c>
      <c r="I927" s="6" t="s">
        <v>14</v>
      </c>
    </row>
    <row r="928" spans="1:9" x14ac:dyDescent="0.35">
      <c r="A928" s="34">
        <v>45479</v>
      </c>
      <c r="B928" s="34" t="str">
        <f t="shared" si="29"/>
        <v>July</v>
      </c>
      <c r="C928" s="4" t="str">
        <f t="shared" si="28"/>
        <v>Saturday</v>
      </c>
      <c r="D928" s="5">
        <v>45479.436190115739</v>
      </c>
      <c r="E928" s="6" t="str" cm="1">
        <f t="array" ref="E928">_xlfn.IFS(HOUR(D928)&gt;=20,"20-24 ",HOUR(D928)&gt;=16,"16-20",HOUR(D928)&gt;=12,"12-16",HOUR(D928)&lt;12,"7-12")</f>
        <v>7-12</v>
      </c>
      <c r="F928" s="6" t="s">
        <v>3</v>
      </c>
      <c r="G928" s="6" t="s">
        <v>366</v>
      </c>
      <c r="H928" s="6">
        <v>37.72</v>
      </c>
      <c r="I928" s="6" t="s">
        <v>7</v>
      </c>
    </row>
    <row r="929" spans="1:9" x14ac:dyDescent="0.35">
      <c r="A929" s="34">
        <v>45479</v>
      </c>
      <c r="B929" s="34" t="str">
        <f t="shared" si="29"/>
        <v>July</v>
      </c>
      <c r="C929" s="4" t="str">
        <f t="shared" si="28"/>
        <v>Saturday</v>
      </c>
      <c r="D929" s="5">
        <v>45479.719282893515</v>
      </c>
      <c r="E929" s="6" t="str" cm="1">
        <f t="array" ref="E929">_xlfn.IFS(HOUR(D929)&gt;=20,"20-24 ",HOUR(D929)&gt;=16,"16-20",HOUR(D929)&gt;=12,"12-16",HOUR(D929)&lt;12,"7-12")</f>
        <v>16-20</v>
      </c>
      <c r="F929" s="6" t="s">
        <v>3</v>
      </c>
      <c r="G929" s="6" t="s">
        <v>19</v>
      </c>
      <c r="H929" s="6">
        <v>32.82</v>
      </c>
      <c r="I929" s="6" t="s">
        <v>7</v>
      </c>
    </row>
    <row r="930" spans="1:9" x14ac:dyDescent="0.35">
      <c r="A930" s="34">
        <v>45479</v>
      </c>
      <c r="B930" s="34" t="str">
        <f t="shared" si="29"/>
        <v>July</v>
      </c>
      <c r="C930" s="4" t="str">
        <f t="shared" si="28"/>
        <v>Saturday</v>
      </c>
      <c r="D930" s="5">
        <v>45479.720150995374</v>
      </c>
      <c r="E930" s="6" t="str" cm="1">
        <f t="array" ref="E930">_xlfn.IFS(HOUR(D930)&gt;=20,"20-24 ",HOUR(D930)&gt;=16,"16-20",HOUR(D930)&gt;=12,"12-16",HOUR(D930)&lt;12,"7-12")</f>
        <v>16-20</v>
      </c>
      <c r="F930" s="6" t="s">
        <v>3</v>
      </c>
      <c r="G930" s="6" t="s">
        <v>19</v>
      </c>
      <c r="H930" s="6">
        <v>32.82</v>
      </c>
      <c r="I930" s="6" t="s">
        <v>7</v>
      </c>
    </row>
    <row r="931" spans="1:9" x14ac:dyDescent="0.35">
      <c r="A931" s="34">
        <v>45479</v>
      </c>
      <c r="B931" s="34" t="str">
        <f t="shared" si="29"/>
        <v>July</v>
      </c>
      <c r="C931" s="4" t="str">
        <f t="shared" si="28"/>
        <v>Saturday</v>
      </c>
      <c r="D931" s="5">
        <v>45479.798450312497</v>
      </c>
      <c r="E931" s="6" t="str" cm="1">
        <f t="array" ref="E931">_xlfn.IFS(HOUR(D931)&gt;=20,"20-24 ",HOUR(D931)&gt;=16,"16-20",HOUR(D931)&gt;=12,"12-16",HOUR(D931)&lt;12,"7-12")</f>
        <v>16-20</v>
      </c>
      <c r="F931" s="6" t="s">
        <v>3</v>
      </c>
      <c r="G931" s="6" t="s">
        <v>23</v>
      </c>
      <c r="H931" s="6">
        <v>32.82</v>
      </c>
      <c r="I931" s="6" t="s">
        <v>7</v>
      </c>
    </row>
    <row r="932" spans="1:9" x14ac:dyDescent="0.35">
      <c r="A932" s="34">
        <v>45479</v>
      </c>
      <c r="B932" s="34" t="str">
        <f t="shared" si="29"/>
        <v>July</v>
      </c>
      <c r="C932" s="4" t="str">
        <f t="shared" si="28"/>
        <v>Saturday</v>
      </c>
      <c r="D932" s="5">
        <v>45479.799069212961</v>
      </c>
      <c r="E932" s="6" t="str" cm="1">
        <f t="array" ref="E932">_xlfn.IFS(HOUR(D932)&gt;=20,"20-24 ",HOUR(D932)&gt;=16,"16-20",HOUR(D932)&gt;=12,"12-16",HOUR(D932)&lt;12,"7-12")</f>
        <v>16-20</v>
      </c>
      <c r="F932" s="6" t="s">
        <v>3</v>
      </c>
      <c r="G932" s="6" t="s">
        <v>23</v>
      </c>
      <c r="H932" s="6">
        <v>27.92</v>
      </c>
      <c r="I932" s="6" t="s">
        <v>14</v>
      </c>
    </row>
    <row r="933" spans="1:9" x14ac:dyDescent="0.35">
      <c r="A933" s="34">
        <v>45480</v>
      </c>
      <c r="B933" s="34" t="str">
        <f t="shared" si="29"/>
        <v>July</v>
      </c>
      <c r="C933" s="4" t="str">
        <f t="shared" si="28"/>
        <v>Sunday</v>
      </c>
      <c r="D933" s="5">
        <v>45480.378011215274</v>
      </c>
      <c r="E933" s="6" t="str" cm="1">
        <f t="array" ref="E933">_xlfn.IFS(HOUR(D933)&gt;=20,"20-24 ",HOUR(D933)&gt;=16,"16-20",HOUR(D933)&gt;=12,"12-16",HOUR(D933)&lt;12,"7-12")</f>
        <v>7-12</v>
      </c>
      <c r="F933" s="6" t="s">
        <v>3</v>
      </c>
      <c r="G933" s="6" t="s">
        <v>317</v>
      </c>
      <c r="H933" s="6">
        <v>32.82</v>
      </c>
      <c r="I933" s="6" t="s">
        <v>43</v>
      </c>
    </row>
    <row r="934" spans="1:9" x14ac:dyDescent="0.35">
      <c r="A934" s="34">
        <v>45480</v>
      </c>
      <c r="B934" s="34" t="str">
        <f t="shared" si="29"/>
        <v>July</v>
      </c>
      <c r="C934" s="4" t="str">
        <f t="shared" si="28"/>
        <v>Sunday</v>
      </c>
      <c r="D934" s="5">
        <v>45480.385060474538</v>
      </c>
      <c r="E934" s="6" t="str" cm="1">
        <f t="array" ref="E934">_xlfn.IFS(HOUR(D934)&gt;=20,"20-24 ",HOUR(D934)&gt;=16,"16-20",HOUR(D934)&gt;=12,"12-16",HOUR(D934)&lt;12,"7-12")</f>
        <v>7-12</v>
      </c>
      <c r="F934" s="6" t="s">
        <v>3</v>
      </c>
      <c r="G934" s="6" t="s">
        <v>367</v>
      </c>
      <c r="H934" s="6">
        <v>27.92</v>
      </c>
      <c r="I934" s="6" t="s">
        <v>14</v>
      </c>
    </row>
    <row r="935" spans="1:9" x14ac:dyDescent="0.35">
      <c r="A935" s="34">
        <v>45480</v>
      </c>
      <c r="B935" s="34" t="str">
        <f t="shared" si="29"/>
        <v>July</v>
      </c>
      <c r="C935" s="4" t="str">
        <f t="shared" si="28"/>
        <v>Sunday</v>
      </c>
      <c r="D935" s="5">
        <v>45480.385842766205</v>
      </c>
      <c r="E935" s="6" t="str" cm="1">
        <f t="array" ref="E935">_xlfn.IFS(HOUR(D935)&gt;=20,"20-24 ",HOUR(D935)&gt;=16,"16-20",HOUR(D935)&gt;=12,"12-16",HOUR(D935)&lt;12,"7-12")</f>
        <v>7-12</v>
      </c>
      <c r="F935" s="6" t="s">
        <v>3</v>
      </c>
      <c r="G935" s="6" t="s">
        <v>367</v>
      </c>
      <c r="H935" s="6">
        <v>27.92</v>
      </c>
      <c r="I935" s="6" t="s">
        <v>14</v>
      </c>
    </row>
    <row r="936" spans="1:9" x14ac:dyDescent="0.35">
      <c r="A936" s="34">
        <v>45480</v>
      </c>
      <c r="B936" s="34" t="str">
        <f t="shared" si="29"/>
        <v>July</v>
      </c>
      <c r="C936" s="4" t="str">
        <f t="shared" si="28"/>
        <v>Sunday</v>
      </c>
      <c r="D936" s="5">
        <v>45480.395010138891</v>
      </c>
      <c r="E936" s="6" t="str" cm="1">
        <f t="array" ref="E936">_xlfn.IFS(HOUR(D936)&gt;=20,"20-24 ",HOUR(D936)&gt;=16,"16-20",HOUR(D936)&gt;=12,"12-16",HOUR(D936)&lt;12,"7-12")</f>
        <v>7-12</v>
      </c>
      <c r="F936" s="6" t="s">
        <v>3</v>
      </c>
      <c r="G936" s="6" t="s">
        <v>368</v>
      </c>
      <c r="H936" s="6">
        <v>32.82</v>
      </c>
      <c r="I936" s="6" t="s">
        <v>43</v>
      </c>
    </row>
    <row r="937" spans="1:9" x14ac:dyDescent="0.35">
      <c r="A937" s="34">
        <v>45480</v>
      </c>
      <c r="B937" s="34" t="str">
        <f t="shared" si="29"/>
        <v>July</v>
      </c>
      <c r="C937" s="4" t="str">
        <f t="shared" si="28"/>
        <v>Sunday</v>
      </c>
      <c r="D937" s="5">
        <v>45480.395789224538</v>
      </c>
      <c r="E937" s="6" t="str" cm="1">
        <f t="array" ref="E937">_xlfn.IFS(HOUR(D937)&gt;=20,"20-24 ",HOUR(D937)&gt;=16,"16-20",HOUR(D937)&gt;=12,"12-16",HOUR(D937)&lt;12,"7-12")</f>
        <v>7-12</v>
      </c>
      <c r="F937" s="6" t="s">
        <v>3</v>
      </c>
      <c r="G937" s="6" t="s">
        <v>368</v>
      </c>
      <c r="H937" s="6">
        <v>32.82</v>
      </c>
      <c r="I937" s="6" t="s">
        <v>43</v>
      </c>
    </row>
    <row r="938" spans="1:9" x14ac:dyDescent="0.35">
      <c r="A938" s="34">
        <v>45480</v>
      </c>
      <c r="B938" s="34" t="str">
        <f t="shared" si="29"/>
        <v>July</v>
      </c>
      <c r="C938" s="4" t="str">
        <f t="shared" si="28"/>
        <v>Sunday</v>
      </c>
      <c r="D938" s="5">
        <v>45480.622571678243</v>
      </c>
      <c r="E938" s="6" t="str" cm="1">
        <f t="array" ref="E938">_xlfn.IFS(HOUR(D938)&gt;=20,"20-24 ",HOUR(D938)&gt;=16,"16-20",HOUR(D938)&gt;=12,"12-16",HOUR(D938)&lt;12,"7-12")</f>
        <v>12-16</v>
      </c>
      <c r="F938" s="6" t="s">
        <v>3</v>
      </c>
      <c r="G938" s="6" t="s">
        <v>369</v>
      </c>
      <c r="H938" s="6">
        <v>32.82</v>
      </c>
      <c r="I938" s="6" t="s">
        <v>9</v>
      </c>
    </row>
    <row r="939" spans="1:9" x14ac:dyDescent="0.35">
      <c r="A939" s="34">
        <v>45480</v>
      </c>
      <c r="B939" s="34" t="str">
        <f t="shared" si="29"/>
        <v>July</v>
      </c>
      <c r="C939" s="4" t="str">
        <f t="shared" si="28"/>
        <v>Sunday</v>
      </c>
      <c r="D939" s="5">
        <v>45480.623465405093</v>
      </c>
      <c r="E939" s="6" t="str" cm="1">
        <f t="array" ref="E939">_xlfn.IFS(HOUR(D939)&gt;=20,"20-24 ",HOUR(D939)&gt;=16,"16-20",HOUR(D939)&gt;=12,"12-16",HOUR(D939)&lt;12,"7-12")</f>
        <v>12-16</v>
      </c>
      <c r="F939" s="6" t="s">
        <v>3</v>
      </c>
      <c r="G939" s="6" t="s">
        <v>369</v>
      </c>
      <c r="H939" s="6">
        <v>32.82</v>
      </c>
      <c r="I939" s="6" t="s">
        <v>18</v>
      </c>
    </row>
    <row r="940" spans="1:9" x14ac:dyDescent="0.35">
      <c r="A940" s="34">
        <v>45480</v>
      </c>
      <c r="B940" s="34" t="str">
        <f t="shared" si="29"/>
        <v>July</v>
      </c>
      <c r="C940" s="4" t="str">
        <f t="shared" si="28"/>
        <v>Sunday</v>
      </c>
      <c r="D940" s="5">
        <v>45480.713776435186</v>
      </c>
      <c r="E940" s="6" t="str" cm="1">
        <f t="array" ref="E940">_xlfn.IFS(HOUR(D940)&gt;=20,"20-24 ",HOUR(D940)&gt;=16,"16-20",HOUR(D940)&gt;=12,"12-16",HOUR(D940)&lt;12,"7-12")</f>
        <v>16-20</v>
      </c>
      <c r="F940" s="6" t="s">
        <v>3</v>
      </c>
      <c r="G940" s="6" t="s">
        <v>370</v>
      </c>
      <c r="H940" s="6">
        <v>32.82</v>
      </c>
      <c r="I940" s="6" t="s">
        <v>7</v>
      </c>
    </row>
    <row r="941" spans="1:9" x14ac:dyDescent="0.35">
      <c r="A941" s="34">
        <v>45480</v>
      </c>
      <c r="B941" s="34" t="str">
        <f t="shared" si="29"/>
        <v>July</v>
      </c>
      <c r="C941" s="4" t="str">
        <f t="shared" si="28"/>
        <v>Sunday</v>
      </c>
      <c r="D941" s="5">
        <v>45480.814897997683</v>
      </c>
      <c r="E941" s="6" t="str" cm="1">
        <f t="array" ref="E941">_xlfn.IFS(HOUR(D941)&gt;=20,"20-24 ",HOUR(D941)&gt;=16,"16-20",HOUR(D941)&gt;=12,"12-16",HOUR(D941)&lt;12,"7-12")</f>
        <v>16-20</v>
      </c>
      <c r="F941" s="6" t="s">
        <v>3</v>
      </c>
      <c r="G941" s="6" t="s">
        <v>371</v>
      </c>
      <c r="H941" s="6">
        <v>32.82</v>
      </c>
      <c r="I941" s="6" t="s">
        <v>43</v>
      </c>
    </row>
    <row r="942" spans="1:9" x14ac:dyDescent="0.35">
      <c r="A942" s="34">
        <v>45480</v>
      </c>
      <c r="B942" s="34" t="str">
        <f t="shared" si="29"/>
        <v>July</v>
      </c>
      <c r="C942" s="4" t="str">
        <f t="shared" si="28"/>
        <v>Sunday</v>
      </c>
      <c r="D942" s="5">
        <v>45480.834394131947</v>
      </c>
      <c r="E942" s="6" t="str" cm="1">
        <f t="array" ref="E942">_xlfn.IFS(HOUR(D942)&gt;=20,"20-24 ",HOUR(D942)&gt;=16,"16-20",HOUR(D942)&gt;=12,"12-16",HOUR(D942)&lt;12,"7-12")</f>
        <v xml:space="preserve">20-24 </v>
      </c>
      <c r="F942" s="6" t="s">
        <v>3</v>
      </c>
      <c r="G942" s="6" t="s">
        <v>372</v>
      </c>
      <c r="H942" s="6">
        <v>32.82</v>
      </c>
      <c r="I942" s="6" t="s">
        <v>9</v>
      </c>
    </row>
    <row r="943" spans="1:9" x14ac:dyDescent="0.35">
      <c r="A943" s="34">
        <v>45480</v>
      </c>
      <c r="B943" s="34" t="str">
        <f t="shared" si="29"/>
        <v>July</v>
      </c>
      <c r="C943" s="4" t="str">
        <f t="shared" si="28"/>
        <v>Sunday</v>
      </c>
      <c r="D943" s="5">
        <v>45480.940002951385</v>
      </c>
      <c r="E943" s="6" t="str" cm="1">
        <f t="array" ref="E943">_xlfn.IFS(HOUR(D943)&gt;=20,"20-24 ",HOUR(D943)&gt;=16,"16-20",HOUR(D943)&gt;=12,"12-16",HOUR(D943)&lt;12,"7-12")</f>
        <v xml:space="preserve">20-24 </v>
      </c>
      <c r="F943" s="6" t="s">
        <v>3</v>
      </c>
      <c r="G943" s="6" t="s">
        <v>373</v>
      </c>
      <c r="H943" s="6">
        <v>27.92</v>
      </c>
      <c r="I943" s="6" t="s">
        <v>14</v>
      </c>
    </row>
    <row r="944" spans="1:9" x14ac:dyDescent="0.35">
      <c r="A944" s="34">
        <v>45481</v>
      </c>
      <c r="B944" s="34" t="str">
        <f t="shared" si="29"/>
        <v>July</v>
      </c>
      <c r="C944" s="4" t="str">
        <f t="shared" si="28"/>
        <v>Monday</v>
      </c>
      <c r="D944" s="5">
        <v>45481.314672731482</v>
      </c>
      <c r="E944" s="6" t="str" cm="1">
        <f t="array" ref="E944">_xlfn.IFS(HOUR(D944)&gt;=20,"20-24 ",HOUR(D944)&gt;=16,"16-20",HOUR(D944)&gt;=12,"12-16",HOUR(D944)&lt;12,"7-12")</f>
        <v>7-12</v>
      </c>
      <c r="F944" s="6" t="s">
        <v>3</v>
      </c>
      <c r="G944" s="6" t="s">
        <v>374</v>
      </c>
      <c r="H944" s="6">
        <v>32.82</v>
      </c>
      <c r="I944" s="6" t="s">
        <v>7</v>
      </c>
    </row>
    <row r="945" spans="1:9" x14ac:dyDescent="0.35">
      <c r="A945" s="34">
        <v>45481</v>
      </c>
      <c r="B945" s="34" t="str">
        <f t="shared" si="29"/>
        <v>July</v>
      </c>
      <c r="C945" s="4" t="str">
        <f t="shared" si="28"/>
        <v>Monday</v>
      </c>
      <c r="D945" s="5">
        <v>45481.501972465281</v>
      </c>
      <c r="E945" s="6" t="str" cm="1">
        <f t="array" ref="E945">_xlfn.IFS(HOUR(D945)&gt;=20,"20-24 ",HOUR(D945)&gt;=16,"16-20",HOUR(D945)&gt;=12,"12-16",HOUR(D945)&lt;12,"7-12")</f>
        <v>12-16</v>
      </c>
      <c r="F945" s="6" t="s">
        <v>3</v>
      </c>
      <c r="G945" s="6" t="s">
        <v>375</v>
      </c>
      <c r="H945" s="6">
        <v>23.02</v>
      </c>
      <c r="I945" s="6" t="s">
        <v>11</v>
      </c>
    </row>
    <row r="946" spans="1:9" x14ac:dyDescent="0.35">
      <c r="A946" s="34">
        <v>45481</v>
      </c>
      <c r="B946" s="34" t="str">
        <f t="shared" si="29"/>
        <v>July</v>
      </c>
      <c r="C946" s="4" t="str">
        <f t="shared" si="28"/>
        <v>Monday</v>
      </c>
      <c r="D946" s="5">
        <v>45481.611392939813</v>
      </c>
      <c r="E946" s="6" t="str" cm="1">
        <f t="array" ref="E946">_xlfn.IFS(HOUR(D946)&gt;=20,"20-24 ",HOUR(D946)&gt;=16,"16-20",HOUR(D946)&gt;=12,"12-16",HOUR(D946)&lt;12,"7-12")</f>
        <v>12-16</v>
      </c>
      <c r="F946" s="6" t="s">
        <v>3</v>
      </c>
      <c r="G946" s="6" t="s">
        <v>376</v>
      </c>
      <c r="H946" s="6">
        <v>23.02</v>
      </c>
      <c r="I946" s="6" t="s">
        <v>11</v>
      </c>
    </row>
    <row r="947" spans="1:9" x14ac:dyDescent="0.35">
      <c r="A947" s="34">
        <v>45481</v>
      </c>
      <c r="B947" s="34" t="str">
        <f t="shared" si="29"/>
        <v>July</v>
      </c>
      <c r="C947" s="4" t="str">
        <f t="shared" si="28"/>
        <v>Monday</v>
      </c>
      <c r="D947" s="5">
        <v>45481.812904814811</v>
      </c>
      <c r="E947" s="6" t="str" cm="1">
        <f t="array" ref="E947">_xlfn.IFS(HOUR(D947)&gt;=20,"20-24 ",HOUR(D947)&gt;=16,"16-20",HOUR(D947)&gt;=12,"12-16",HOUR(D947)&lt;12,"7-12")</f>
        <v>16-20</v>
      </c>
      <c r="F947" s="6" t="s">
        <v>3</v>
      </c>
      <c r="G947" s="6" t="s">
        <v>377</v>
      </c>
      <c r="H947" s="6">
        <v>27.92</v>
      </c>
      <c r="I947" s="6" t="s">
        <v>14</v>
      </c>
    </row>
    <row r="948" spans="1:9" x14ac:dyDescent="0.35">
      <c r="A948" s="34">
        <v>45481</v>
      </c>
      <c r="B948" s="34" t="str">
        <f t="shared" si="29"/>
        <v>July</v>
      </c>
      <c r="C948" s="4" t="str">
        <f t="shared" si="28"/>
        <v>Monday</v>
      </c>
      <c r="D948" s="5">
        <v>45481.926923379629</v>
      </c>
      <c r="E948" s="6" t="str" cm="1">
        <f t="array" ref="E948">_xlfn.IFS(HOUR(D948)&gt;=20,"20-24 ",HOUR(D948)&gt;=16,"16-20",HOUR(D948)&gt;=12,"12-16",HOUR(D948)&lt;12,"7-12")</f>
        <v xml:space="preserve">20-24 </v>
      </c>
      <c r="F948" s="6" t="s">
        <v>3</v>
      </c>
      <c r="G948" s="6" t="s">
        <v>31</v>
      </c>
      <c r="H948" s="6">
        <v>32.82</v>
      </c>
      <c r="I948" s="6" t="s">
        <v>7</v>
      </c>
    </row>
    <row r="949" spans="1:9" x14ac:dyDescent="0.35">
      <c r="A949" s="34">
        <v>45482</v>
      </c>
      <c r="B949" s="34" t="str">
        <f t="shared" si="29"/>
        <v>July</v>
      </c>
      <c r="C949" s="4" t="str">
        <f t="shared" si="28"/>
        <v>Tuesday</v>
      </c>
      <c r="D949" s="5">
        <v>45482.435325671293</v>
      </c>
      <c r="E949" s="6" t="str" cm="1">
        <f t="array" ref="E949">_xlfn.IFS(HOUR(D949)&gt;=20,"20-24 ",HOUR(D949)&gt;=16,"16-20",HOUR(D949)&gt;=12,"12-16",HOUR(D949)&lt;12,"7-12")</f>
        <v>7-12</v>
      </c>
      <c r="F949" s="6" t="s">
        <v>3</v>
      </c>
      <c r="G949" s="6" t="s">
        <v>347</v>
      </c>
      <c r="H949" s="6">
        <v>27.92</v>
      </c>
      <c r="I949" s="6" t="s">
        <v>14</v>
      </c>
    </row>
    <row r="950" spans="1:9" x14ac:dyDescent="0.35">
      <c r="A950" s="34">
        <v>45482</v>
      </c>
      <c r="B950" s="34" t="str">
        <f t="shared" si="29"/>
        <v>July</v>
      </c>
      <c r="C950" s="4" t="str">
        <f t="shared" si="28"/>
        <v>Tuesday</v>
      </c>
      <c r="D950" s="5">
        <v>45482.444777395831</v>
      </c>
      <c r="E950" s="6" t="str" cm="1">
        <f t="array" ref="E950">_xlfn.IFS(HOUR(D950)&gt;=20,"20-24 ",HOUR(D950)&gt;=16,"16-20",HOUR(D950)&gt;=12,"12-16",HOUR(D950)&lt;12,"7-12")</f>
        <v>7-12</v>
      </c>
      <c r="F950" s="6" t="s">
        <v>3</v>
      </c>
      <c r="G950" s="6" t="s">
        <v>290</v>
      </c>
      <c r="H950" s="6">
        <v>27.92</v>
      </c>
      <c r="I950" s="6" t="s">
        <v>14</v>
      </c>
    </row>
    <row r="951" spans="1:9" x14ac:dyDescent="0.35">
      <c r="A951" s="34">
        <v>45482</v>
      </c>
      <c r="B951" s="34" t="str">
        <f t="shared" si="29"/>
        <v>July</v>
      </c>
      <c r="C951" s="4" t="str">
        <f t="shared" si="28"/>
        <v>Tuesday</v>
      </c>
      <c r="D951" s="5">
        <v>45482.473334525464</v>
      </c>
      <c r="E951" s="6" t="str" cm="1">
        <f t="array" ref="E951">_xlfn.IFS(HOUR(D951)&gt;=20,"20-24 ",HOUR(D951)&gt;=16,"16-20",HOUR(D951)&gt;=12,"12-16",HOUR(D951)&lt;12,"7-12")</f>
        <v>7-12</v>
      </c>
      <c r="F951" s="6" t="s">
        <v>3</v>
      </c>
      <c r="G951" s="6" t="s">
        <v>208</v>
      </c>
      <c r="H951" s="6">
        <v>27.92</v>
      </c>
      <c r="I951" s="6" t="s">
        <v>14</v>
      </c>
    </row>
    <row r="952" spans="1:9" x14ac:dyDescent="0.35">
      <c r="A952" s="34">
        <v>45482</v>
      </c>
      <c r="B952" s="34" t="str">
        <f t="shared" si="29"/>
        <v>July</v>
      </c>
      <c r="C952" s="4" t="str">
        <f t="shared" si="28"/>
        <v>Tuesday</v>
      </c>
      <c r="D952" s="5">
        <v>45482.474188703702</v>
      </c>
      <c r="E952" s="6" t="str" cm="1">
        <f t="array" ref="E952">_xlfn.IFS(HOUR(D952)&gt;=20,"20-24 ",HOUR(D952)&gt;=16,"16-20",HOUR(D952)&gt;=12,"12-16",HOUR(D952)&lt;12,"7-12")</f>
        <v>7-12</v>
      </c>
      <c r="F952" s="6" t="s">
        <v>3</v>
      </c>
      <c r="G952" s="6" t="s">
        <v>208</v>
      </c>
      <c r="H952" s="6">
        <v>32.82</v>
      </c>
      <c r="I952" s="6" t="s">
        <v>43</v>
      </c>
    </row>
    <row r="953" spans="1:9" x14ac:dyDescent="0.35">
      <c r="A953" s="34">
        <v>45482</v>
      </c>
      <c r="B953" s="34" t="str">
        <f t="shared" si="29"/>
        <v>July</v>
      </c>
      <c r="C953" s="4" t="str">
        <f t="shared" si="28"/>
        <v>Tuesday</v>
      </c>
      <c r="D953" s="5">
        <v>45482.696522395832</v>
      </c>
      <c r="E953" s="6" t="str" cm="1">
        <f t="array" ref="E953">_xlfn.IFS(HOUR(D953)&gt;=20,"20-24 ",HOUR(D953)&gt;=16,"16-20",HOUR(D953)&gt;=12,"12-16",HOUR(D953)&lt;12,"7-12")</f>
        <v>16-20</v>
      </c>
      <c r="F953" s="6" t="s">
        <v>3</v>
      </c>
      <c r="G953" s="6" t="s">
        <v>378</v>
      </c>
      <c r="H953" s="6">
        <v>27.92</v>
      </c>
      <c r="I953" s="6" t="s">
        <v>14</v>
      </c>
    </row>
    <row r="954" spans="1:9" x14ac:dyDescent="0.35">
      <c r="A954" s="34">
        <v>45483</v>
      </c>
      <c r="B954" s="34" t="str">
        <f t="shared" si="29"/>
        <v>July</v>
      </c>
      <c r="C954" s="4" t="str">
        <f t="shared" si="28"/>
        <v>Wednesday</v>
      </c>
      <c r="D954" s="5">
        <v>45483.465760300925</v>
      </c>
      <c r="E954" s="6" t="str" cm="1">
        <f t="array" ref="E954">_xlfn.IFS(HOUR(D954)&gt;=20,"20-24 ",HOUR(D954)&gt;=16,"16-20",HOUR(D954)&gt;=12,"12-16",HOUR(D954)&lt;12,"7-12")</f>
        <v>7-12</v>
      </c>
      <c r="F954" s="6" t="s">
        <v>3</v>
      </c>
      <c r="G954" s="6" t="s">
        <v>379</v>
      </c>
      <c r="H954" s="6">
        <v>23.02</v>
      </c>
      <c r="I954" s="6" t="s">
        <v>11</v>
      </c>
    </row>
    <row r="955" spans="1:9" x14ac:dyDescent="0.35">
      <c r="A955" s="34">
        <v>45483</v>
      </c>
      <c r="B955" s="34" t="str">
        <f t="shared" si="29"/>
        <v>July</v>
      </c>
      <c r="C955" s="4" t="str">
        <f t="shared" si="28"/>
        <v>Wednesday</v>
      </c>
      <c r="D955" s="5">
        <v>45483.520065497687</v>
      </c>
      <c r="E955" s="6" t="str" cm="1">
        <f t="array" ref="E955">_xlfn.IFS(HOUR(D955)&gt;=20,"20-24 ",HOUR(D955)&gt;=16,"16-20",HOUR(D955)&gt;=12,"12-16",HOUR(D955)&lt;12,"7-12")</f>
        <v>12-16</v>
      </c>
      <c r="F955" s="6" t="s">
        <v>3</v>
      </c>
      <c r="G955" s="6" t="s">
        <v>380</v>
      </c>
      <c r="H955" s="6">
        <v>27.92</v>
      </c>
      <c r="I955" s="6" t="s">
        <v>14</v>
      </c>
    </row>
    <row r="956" spans="1:9" x14ac:dyDescent="0.35">
      <c r="A956" s="34">
        <v>45483</v>
      </c>
      <c r="B956" s="34" t="str">
        <f t="shared" si="29"/>
        <v>July</v>
      </c>
      <c r="C956" s="4" t="str">
        <f t="shared" si="28"/>
        <v>Wednesday</v>
      </c>
      <c r="D956" s="5">
        <v>45483.925810752313</v>
      </c>
      <c r="E956" s="6" t="str" cm="1">
        <f t="array" ref="E956">_xlfn.IFS(HOUR(D956)&gt;=20,"20-24 ",HOUR(D956)&gt;=16,"16-20",HOUR(D956)&gt;=12,"12-16",HOUR(D956)&lt;12,"7-12")</f>
        <v xml:space="preserve">20-24 </v>
      </c>
      <c r="F956" s="6" t="s">
        <v>3</v>
      </c>
      <c r="G956" s="6" t="s">
        <v>342</v>
      </c>
      <c r="H956" s="6">
        <v>32.82</v>
      </c>
      <c r="I956" s="6" t="s">
        <v>7</v>
      </c>
    </row>
    <row r="957" spans="1:9" x14ac:dyDescent="0.35">
      <c r="A957" s="34">
        <v>45484</v>
      </c>
      <c r="B957" s="34" t="str">
        <f t="shared" si="29"/>
        <v>July</v>
      </c>
      <c r="C957" s="4" t="str">
        <f t="shared" si="28"/>
        <v>Thursday</v>
      </c>
      <c r="D957" s="5">
        <v>45484.477402337965</v>
      </c>
      <c r="E957" s="6" t="str" cm="1">
        <f t="array" ref="E957">_xlfn.IFS(HOUR(D957)&gt;=20,"20-24 ",HOUR(D957)&gt;=16,"16-20",HOUR(D957)&gt;=12,"12-16",HOUR(D957)&lt;12,"7-12")</f>
        <v>7-12</v>
      </c>
      <c r="F957" s="6" t="s">
        <v>3</v>
      </c>
      <c r="G957" s="6" t="s">
        <v>381</v>
      </c>
      <c r="H957" s="6">
        <v>32.82</v>
      </c>
      <c r="I957" s="6" t="s">
        <v>9</v>
      </c>
    </row>
    <row r="958" spans="1:9" x14ac:dyDescent="0.35">
      <c r="A958" s="34">
        <v>45484</v>
      </c>
      <c r="B958" s="34" t="str">
        <f t="shared" si="29"/>
        <v>July</v>
      </c>
      <c r="C958" s="4" t="str">
        <f t="shared" si="28"/>
        <v>Thursday</v>
      </c>
      <c r="D958" s="5">
        <v>45484.70021653935</v>
      </c>
      <c r="E958" s="6" t="str" cm="1">
        <f t="array" ref="E958">_xlfn.IFS(HOUR(D958)&gt;=20,"20-24 ",HOUR(D958)&gt;=16,"16-20",HOUR(D958)&gt;=12,"12-16",HOUR(D958)&lt;12,"7-12")</f>
        <v>16-20</v>
      </c>
      <c r="F958" s="6" t="s">
        <v>3</v>
      </c>
      <c r="G958" s="6" t="s">
        <v>382</v>
      </c>
      <c r="H958" s="6">
        <v>27.92</v>
      </c>
      <c r="I958" s="6" t="s">
        <v>14</v>
      </c>
    </row>
    <row r="959" spans="1:9" x14ac:dyDescent="0.35">
      <c r="A959" s="34">
        <v>45484</v>
      </c>
      <c r="B959" s="34" t="str">
        <f t="shared" si="29"/>
        <v>July</v>
      </c>
      <c r="C959" s="4" t="str">
        <f t="shared" si="28"/>
        <v>Thursday</v>
      </c>
      <c r="D959" s="5">
        <v>45484.932102407409</v>
      </c>
      <c r="E959" s="6" t="str" cm="1">
        <f t="array" ref="E959">_xlfn.IFS(HOUR(D959)&gt;=20,"20-24 ",HOUR(D959)&gt;=16,"16-20",HOUR(D959)&gt;=12,"12-16",HOUR(D959)&lt;12,"7-12")</f>
        <v xml:space="preserve">20-24 </v>
      </c>
      <c r="F959" s="6" t="s">
        <v>3</v>
      </c>
      <c r="G959" s="6" t="s">
        <v>383</v>
      </c>
      <c r="H959" s="6">
        <v>32.82</v>
      </c>
      <c r="I959" s="6" t="s">
        <v>7</v>
      </c>
    </row>
    <row r="960" spans="1:9" x14ac:dyDescent="0.35">
      <c r="A960" s="34">
        <v>45484</v>
      </c>
      <c r="B960" s="34" t="str">
        <f t="shared" si="29"/>
        <v>July</v>
      </c>
      <c r="C960" s="4" t="str">
        <f t="shared" si="28"/>
        <v>Thursday</v>
      </c>
      <c r="D960" s="5">
        <v>45484.938177557873</v>
      </c>
      <c r="E960" s="6" t="str" cm="1">
        <f t="array" ref="E960">_xlfn.IFS(HOUR(D960)&gt;=20,"20-24 ",HOUR(D960)&gt;=16,"16-20",HOUR(D960)&gt;=12,"12-16",HOUR(D960)&lt;12,"7-12")</f>
        <v xml:space="preserve">20-24 </v>
      </c>
      <c r="F960" s="6" t="s">
        <v>3</v>
      </c>
      <c r="G960" s="6" t="s">
        <v>384</v>
      </c>
      <c r="H960" s="6">
        <v>23.02</v>
      </c>
      <c r="I960" s="6" t="s">
        <v>11</v>
      </c>
    </row>
    <row r="961" spans="1:9" x14ac:dyDescent="0.35">
      <c r="A961" s="34">
        <v>45485</v>
      </c>
      <c r="B961" s="34" t="str">
        <f t="shared" si="29"/>
        <v>July</v>
      </c>
      <c r="C961" s="4" t="str">
        <f t="shared" si="28"/>
        <v>Friday</v>
      </c>
      <c r="D961" s="5">
        <v>45485.335619120371</v>
      </c>
      <c r="E961" s="6" t="str" cm="1">
        <f t="array" ref="E961">_xlfn.IFS(HOUR(D961)&gt;=20,"20-24 ",HOUR(D961)&gt;=16,"16-20",HOUR(D961)&gt;=12,"12-16",HOUR(D961)&lt;12,"7-12")</f>
        <v>7-12</v>
      </c>
      <c r="F961" s="6" t="s">
        <v>3</v>
      </c>
      <c r="G961" s="6" t="s">
        <v>385</v>
      </c>
      <c r="H961" s="6">
        <v>23.02</v>
      </c>
      <c r="I961" s="6" t="s">
        <v>28</v>
      </c>
    </row>
    <row r="962" spans="1:9" x14ac:dyDescent="0.35">
      <c r="A962" s="34">
        <v>45485</v>
      </c>
      <c r="B962" s="34" t="str">
        <f t="shared" si="29"/>
        <v>July</v>
      </c>
      <c r="C962" s="4" t="str">
        <f t="shared" ref="C962:C1025" si="30">TEXT(A962,"ddddddddd")</f>
        <v>Friday</v>
      </c>
      <c r="D962" s="5">
        <v>45485.492053020833</v>
      </c>
      <c r="E962" s="6" t="str" cm="1">
        <f t="array" ref="E962">_xlfn.IFS(HOUR(D962)&gt;=20,"20-24 ",HOUR(D962)&gt;=16,"16-20",HOUR(D962)&gt;=12,"12-16",HOUR(D962)&lt;12,"7-12")</f>
        <v>7-12</v>
      </c>
      <c r="F962" s="6" t="s">
        <v>3</v>
      </c>
      <c r="G962" s="6" t="s">
        <v>386</v>
      </c>
      <c r="H962" s="6">
        <v>32.82</v>
      </c>
      <c r="I962" s="6" t="s">
        <v>9</v>
      </c>
    </row>
    <row r="963" spans="1:9" x14ac:dyDescent="0.35">
      <c r="A963" s="34">
        <v>45485</v>
      </c>
      <c r="B963" s="34" t="str">
        <f t="shared" ref="B963:B1026" si="31">TEXT(A963, "mmmm")</f>
        <v>July</v>
      </c>
      <c r="C963" s="4" t="str">
        <f t="shared" si="30"/>
        <v>Friday</v>
      </c>
      <c r="D963" s="5">
        <v>45485.939879502315</v>
      </c>
      <c r="E963" s="6" t="str" cm="1">
        <f t="array" ref="E963">_xlfn.IFS(HOUR(D963)&gt;=20,"20-24 ",HOUR(D963)&gt;=16,"16-20",HOUR(D963)&gt;=12,"12-16",HOUR(D963)&lt;12,"7-12")</f>
        <v xml:space="preserve">20-24 </v>
      </c>
      <c r="F963" s="6" t="s">
        <v>3</v>
      </c>
      <c r="G963" s="6" t="s">
        <v>192</v>
      </c>
      <c r="H963" s="6">
        <v>32.82</v>
      </c>
      <c r="I963" s="6" t="s">
        <v>9</v>
      </c>
    </row>
    <row r="964" spans="1:9" x14ac:dyDescent="0.35">
      <c r="A964" s="34">
        <v>45485</v>
      </c>
      <c r="B964" s="34" t="str">
        <f t="shared" si="31"/>
        <v>July</v>
      </c>
      <c r="C964" s="4" t="str">
        <f t="shared" si="30"/>
        <v>Friday</v>
      </c>
      <c r="D964" s="5">
        <v>45485.940443368054</v>
      </c>
      <c r="E964" s="6" t="str" cm="1">
        <f t="array" ref="E964">_xlfn.IFS(HOUR(D964)&gt;=20,"20-24 ",HOUR(D964)&gt;=16,"16-20",HOUR(D964)&gt;=12,"12-16",HOUR(D964)&lt;12,"7-12")</f>
        <v xml:space="preserve">20-24 </v>
      </c>
      <c r="F964" s="6" t="s">
        <v>3</v>
      </c>
      <c r="G964" s="6" t="s">
        <v>191</v>
      </c>
      <c r="H964" s="6">
        <v>32.82</v>
      </c>
      <c r="I964" s="6" t="s">
        <v>9</v>
      </c>
    </row>
    <row r="965" spans="1:9" x14ac:dyDescent="0.35">
      <c r="A965" s="34">
        <v>45485</v>
      </c>
      <c r="B965" s="34" t="str">
        <f t="shared" si="31"/>
        <v>July</v>
      </c>
      <c r="C965" s="4" t="str">
        <f t="shared" si="30"/>
        <v>Friday</v>
      </c>
      <c r="D965" s="5">
        <v>45485.94131386574</v>
      </c>
      <c r="E965" s="6" t="str" cm="1">
        <f t="array" ref="E965">_xlfn.IFS(HOUR(D965)&gt;=20,"20-24 ",HOUR(D965)&gt;=16,"16-20",HOUR(D965)&gt;=12,"12-16",HOUR(D965)&lt;12,"7-12")</f>
        <v xml:space="preserve">20-24 </v>
      </c>
      <c r="F965" s="6" t="s">
        <v>3</v>
      </c>
      <c r="G965" s="6" t="s">
        <v>193</v>
      </c>
      <c r="H965" s="6">
        <v>32.82</v>
      </c>
      <c r="I965" s="6" t="s">
        <v>9</v>
      </c>
    </row>
    <row r="966" spans="1:9" x14ac:dyDescent="0.35">
      <c r="A966" s="34">
        <v>45486</v>
      </c>
      <c r="B966" s="34" t="str">
        <f t="shared" si="31"/>
        <v>July</v>
      </c>
      <c r="C966" s="4" t="str">
        <f t="shared" si="30"/>
        <v>Saturday</v>
      </c>
      <c r="D966" s="5">
        <v>45486.443174456021</v>
      </c>
      <c r="E966" s="6" t="str" cm="1">
        <f t="array" ref="E966">_xlfn.IFS(HOUR(D966)&gt;=20,"20-24 ",HOUR(D966)&gt;=16,"16-20",HOUR(D966)&gt;=12,"12-16",HOUR(D966)&lt;12,"7-12")</f>
        <v>7-12</v>
      </c>
      <c r="F966" s="6" t="s">
        <v>3</v>
      </c>
      <c r="G966" s="6" t="s">
        <v>379</v>
      </c>
      <c r="H966" s="6">
        <v>32.82</v>
      </c>
      <c r="I966" s="6" t="s">
        <v>7</v>
      </c>
    </row>
    <row r="967" spans="1:9" x14ac:dyDescent="0.35">
      <c r="A967" s="34">
        <v>45486</v>
      </c>
      <c r="B967" s="34" t="str">
        <f t="shared" si="31"/>
        <v>July</v>
      </c>
      <c r="C967" s="4" t="str">
        <f t="shared" si="30"/>
        <v>Saturday</v>
      </c>
      <c r="D967" s="5">
        <v>45486.487246400466</v>
      </c>
      <c r="E967" s="6" t="str" cm="1">
        <f t="array" ref="E967">_xlfn.IFS(HOUR(D967)&gt;=20,"20-24 ",HOUR(D967)&gt;=16,"16-20",HOUR(D967)&gt;=12,"12-16",HOUR(D967)&lt;12,"7-12")</f>
        <v>7-12</v>
      </c>
      <c r="F967" s="6" t="s">
        <v>3</v>
      </c>
      <c r="G967" s="6" t="s">
        <v>379</v>
      </c>
      <c r="H967" s="6">
        <v>32.82</v>
      </c>
      <c r="I967" s="6" t="s">
        <v>7</v>
      </c>
    </row>
    <row r="968" spans="1:9" x14ac:dyDescent="0.35">
      <c r="A968" s="34">
        <v>45487</v>
      </c>
      <c r="B968" s="34" t="str">
        <f t="shared" si="31"/>
        <v>July</v>
      </c>
      <c r="C968" s="4" t="str">
        <f t="shared" si="30"/>
        <v>Sunday</v>
      </c>
      <c r="D968" s="5">
        <v>45487.454447997683</v>
      </c>
      <c r="E968" s="6" t="str" cm="1">
        <f t="array" ref="E968">_xlfn.IFS(HOUR(D968)&gt;=20,"20-24 ",HOUR(D968)&gt;=16,"16-20",HOUR(D968)&gt;=12,"12-16",HOUR(D968)&lt;12,"7-12")</f>
        <v>7-12</v>
      </c>
      <c r="F968" s="6" t="s">
        <v>3</v>
      </c>
      <c r="G968" s="6" t="s">
        <v>387</v>
      </c>
      <c r="H968" s="6">
        <v>23.02</v>
      </c>
      <c r="I968" s="6" t="s">
        <v>11</v>
      </c>
    </row>
    <row r="969" spans="1:9" x14ac:dyDescent="0.35">
      <c r="A969" s="34">
        <v>45487</v>
      </c>
      <c r="B969" s="34" t="str">
        <f t="shared" si="31"/>
        <v>July</v>
      </c>
      <c r="C969" s="4" t="str">
        <f t="shared" si="30"/>
        <v>Sunday</v>
      </c>
      <c r="D969" s="5">
        <v>45487.455214409725</v>
      </c>
      <c r="E969" s="6" t="str" cm="1">
        <f t="array" ref="E969">_xlfn.IFS(HOUR(D969)&gt;=20,"20-24 ",HOUR(D969)&gt;=16,"16-20",HOUR(D969)&gt;=12,"12-16",HOUR(D969)&lt;12,"7-12")</f>
        <v>7-12</v>
      </c>
      <c r="F969" s="6" t="s">
        <v>3</v>
      </c>
      <c r="G969" s="6" t="s">
        <v>387</v>
      </c>
      <c r="H969" s="6">
        <v>27.92</v>
      </c>
      <c r="I969" s="6" t="s">
        <v>14</v>
      </c>
    </row>
    <row r="970" spans="1:9" x14ac:dyDescent="0.35">
      <c r="A970" s="34">
        <v>45487</v>
      </c>
      <c r="B970" s="34" t="str">
        <f t="shared" si="31"/>
        <v>July</v>
      </c>
      <c r="C970" s="4" t="str">
        <f t="shared" si="30"/>
        <v>Sunday</v>
      </c>
      <c r="D970" s="5">
        <v>45487.455905682873</v>
      </c>
      <c r="E970" s="6" t="str" cm="1">
        <f t="array" ref="E970">_xlfn.IFS(HOUR(D970)&gt;=20,"20-24 ",HOUR(D970)&gt;=16,"16-20",HOUR(D970)&gt;=12,"12-16",HOUR(D970)&lt;12,"7-12")</f>
        <v>7-12</v>
      </c>
      <c r="F970" s="6" t="s">
        <v>3</v>
      </c>
      <c r="G970" s="6" t="s">
        <v>387</v>
      </c>
      <c r="H970" s="6">
        <v>32.82</v>
      </c>
      <c r="I970" s="6" t="s">
        <v>43</v>
      </c>
    </row>
    <row r="971" spans="1:9" x14ac:dyDescent="0.35">
      <c r="A971" s="34">
        <v>45487</v>
      </c>
      <c r="B971" s="34" t="str">
        <f t="shared" si="31"/>
        <v>July</v>
      </c>
      <c r="C971" s="4" t="str">
        <f t="shared" si="30"/>
        <v>Sunday</v>
      </c>
      <c r="D971" s="5">
        <v>45487.456875717595</v>
      </c>
      <c r="E971" s="6" t="str" cm="1">
        <f t="array" ref="E971">_xlfn.IFS(HOUR(D971)&gt;=20,"20-24 ",HOUR(D971)&gt;=16,"16-20",HOUR(D971)&gt;=12,"12-16",HOUR(D971)&lt;12,"7-12")</f>
        <v>7-12</v>
      </c>
      <c r="F971" s="6" t="s">
        <v>3</v>
      </c>
      <c r="G971" s="6" t="s">
        <v>388</v>
      </c>
      <c r="H971" s="6">
        <v>32.82</v>
      </c>
      <c r="I971" s="6" t="s">
        <v>7</v>
      </c>
    </row>
    <row r="972" spans="1:9" x14ac:dyDescent="0.35">
      <c r="A972" s="34">
        <v>45487</v>
      </c>
      <c r="B972" s="34" t="str">
        <f t="shared" si="31"/>
        <v>July</v>
      </c>
      <c r="C972" s="4" t="str">
        <f t="shared" si="30"/>
        <v>Sunday</v>
      </c>
      <c r="D972" s="5">
        <v>45487.459858773145</v>
      </c>
      <c r="E972" s="6" t="str" cm="1">
        <f t="array" ref="E972">_xlfn.IFS(HOUR(D972)&gt;=20,"20-24 ",HOUR(D972)&gt;=16,"16-20",HOUR(D972)&gt;=12,"12-16",HOUR(D972)&lt;12,"7-12")</f>
        <v>7-12</v>
      </c>
      <c r="F972" s="6" t="s">
        <v>3</v>
      </c>
      <c r="G972" s="6" t="s">
        <v>389</v>
      </c>
      <c r="H972" s="6">
        <v>23.02</v>
      </c>
      <c r="I972" s="6" t="s">
        <v>11</v>
      </c>
    </row>
    <row r="973" spans="1:9" x14ac:dyDescent="0.35">
      <c r="A973" s="34">
        <v>45487</v>
      </c>
      <c r="B973" s="34" t="str">
        <f t="shared" si="31"/>
        <v>July</v>
      </c>
      <c r="C973" s="4" t="str">
        <f t="shared" si="30"/>
        <v>Sunday</v>
      </c>
      <c r="D973" s="5">
        <v>45487.938541388889</v>
      </c>
      <c r="E973" s="6" t="str" cm="1">
        <f t="array" ref="E973">_xlfn.IFS(HOUR(D973)&gt;=20,"20-24 ",HOUR(D973)&gt;=16,"16-20",HOUR(D973)&gt;=12,"12-16",HOUR(D973)&lt;12,"7-12")</f>
        <v xml:space="preserve">20-24 </v>
      </c>
      <c r="F973" s="6" t="s">
        <v>3</v>
      </c>
      <c r="G973" s="6" t="s">
        <v>390</v>
      </c>
      <c r="H973" s="6">
        <v>32.82</v>
      </c>
      <c r="I973" s="6" t="s">
        <v>7</v>
      </c>
    </row>
    <row r="974" spans="1:9" x14ac:dyDescent="0.35">
      <c r="A974" s="34">
        <v>45488</v>
      </c>
      <c r="B974" s="34" t="str">
        <f t="shared" si="31"/>
        <v>July</v>
      </c>
      <c r="C974" s="4" t="str">
        <f t="shared" si="30"/>
        <v>Monday</v>
      </c>
      <c r="D974" s="5">
        <v>45488.314647650463</v>
      </c>
      <c r="E974" s="6" t="str" cm="1">
        <f t="array" ref="E974">_xlfn.IFS(HOUR(D974)&gt;=20,"20-24 ",HOUR(D974)&gt;=16,"16-20",HOUR(D974)&gt;=12,"12-16",HOUR(D974)&lt;12,"7-12")</f>
        <v>7-12</v>
      </c>
      <c r="F974" s="6" t="s">
        <v>3</v>
      </c>
      <c r="G974" s="6" t="s">
        <v>391</v>
      </c>
      <c r="H974" s="6">
        <v>32.82</v>
      </c>
      <c r="I974" s="6" t="s">
        <v>43</v>
      </c>
    </row>
    <row r="975" spans="1:9" x14ac:dyDescent="0.35">
      <c r="A975" s="34">
        <v>45489</v>
      </c>
      <c r="B975" s="34" t="str">
        <f t="shared" si="31"/>
        <v>July</v>
      </c>
      <c r="C975" s="4" t="str">
        <f t="shared" si="30"/>
        <v>Tuesday</v>
      </c>
      <c r="D975" s="5">
        <v>45489.516405868053</v>
      </c>
      <c r="E975" s="6" t="str" cm="1">
        <f t="array" ref="E975">_xlfn.IFS(HOUR(D975)&gt;=20,"20-24 ",HOUR(D975)&gt;=16,"16-20",HOUR(D975)&gt;=12,"12-16",HOUR(D975)&lt;12,"7-12")</f>
        <v>12-16</v>
      </c>
      <c r="F975" s="6" t="s">
        <v>3</v>
      </c>
      <c r="G975" s="6" t="s">
        <v>392</v>
      </c>
      <c r="H975" s="6">
        <v>27.92</v>
      </c>
      <c r="I975" s="6" t="s">
        <v>14</v>
      </c>
    </row>
    <row r="976" spans="1:9" x14ac:dyDescent="0.35">
      <c r="A976" s="34">
        <v>45489</v>
      </c>
      <c r="B976" s="34" t="str">
        <f t="shared" si="31"/>
        <v>July</v>
      </c>
      <c r="C976" s="4" t="str">
        <f t="shared" si="30"/>
        <v>Tuesday</v>
      </c>
      <c r="D976" s="5">
        <v>45489.81210052083</v>
      </c>
      <c r="E976" s="6" t="str" cm="1">
        <f t="array" ref="E976">_xlfn.IFS(HOUR(D976)&gt;=20,"20-24 ",HOUR(D976)&gt;=16,"16-20",HOUR(D976)&gt;=12,"12-16",HOUR(D976)&lt;12,"7-12")</f>
        <v>16-20</v>
      </c>
      <c r="F976" s="6" t="s">
        <v>3</v>
      </c>
      <c r="G976" s="6" t="s">
        <v>381</v>
      </c>
      <c r="H976" s="6">
        <v>32.82</v>
      </c>
      <c r="I976" s="6" t="s">
        <v>9</v>
      </c>
    </row>
    <row r="977" spans="1:9" x14ac:dyDescent="0.35">
      <c r="A977" s="34">
        <v>45490</v>
      </c>
      <c r="B977" s="34" t="str">
        <f t="shared" si="31"/>
        <v>July</v>
      </c>
      <c r="C977" s="4" t="str">
        <f t="shared" si="30"/>
        <v>Wednesday</v>
      </c>
      <c r="D977" s="5">
        <v>45490.545135925924</v>
      </c>
      <c r="E977" s="6" t="str" cm="1">
        <f t="array" ref="E977">_xlfn.IFS(HOUR(D977)&gt;=20,"20-24 ",HOUR(D977)&gt;=16,"16-20",HOUR(D977)&gt;=12,"12-16",HOUR(D977)&lt;12,"7-12")</f>
        <v>12-16</v>
      </c>
      <c r="F977" s="6" t="s">
        <v>3</v>
      </c>
      <c r="G977" s="6" t="s">
        <v>393</v>
      </c>
      <c r="H977" s="6">
        <v>27.92</v>
      </c>
      <c r="I977" s="6" t="s">
        <v>14</v>
      </c>
    </row>
    <row r="978" spans="1:9" x14ac:dyDescent="0.35">
      <c r="A978" s="34">
        <v>45491</v>
      </c>
      <c r="B978" s="34" t="str">
        <f t="shared" si="31"/>
        <v>July</v>
      </c>
      <c r="C978" s="4" t="str">
        <f t="shared" si="30"/>
        <v>Thursday</v>
      </c>
      <c r="D978" s="5">
        <v>45491.465432789351</v>
      </c>
      <c r="E978" s="6" t="str" cm="1">
        <f t="array" ref="E978">_xlfn.IFS(HOUR(D978)&gt;=20,"20-24 ",HOUR(D978)&gt;=16,"16-20",HOUR(D978)&gt;=12,"12-16",HOUR(D978)&lt;12,"7-12")</f>
        <v>7-12</v>
      </c>
      <c r="F978" s="6" t="s">
        <v>3</v>
      </c>
      <c r="G978" s="6" t="s">
        <v>394</v>
      </c>
      <c r="H978" s="6">
        <v>27.92</v>
      </c>
      <c r="I978" s="6" t="s">
        <v>14</v>
      </c>
    </row>
    <row r="979" spans="1:9" x14ac:dyDescent="0.35">
      <c r="A979" s="34">
        <v>45491</v>
      </c>
      <c r="B979" s="34" t="str">
        <f t="shared" si="31"/>
        <v>July</v>
      </c>
      <c r="C979" s="4" t="str">
        <f t="shared" si="30"/>
        <v>Thursday</v>
      </c>
      <c r="D979" s="5">
        <v>45491.466243449075</v>
      </c>
      <c r="E979" s="6" t="str" cm="1">
        <f t="array" ref="E979">_xlfn.IFS(HOUR(D979)&gt;=20,"20-24 ",HOUR(D979)&gt;=16,"16-20",HOUR(D979)&gt;=12,"12-16",HOUR(D979)&lt;12,"7-12")</f>
        <v>7-12</v>
      </c>
      <c r="F979" s="6" t="s">
        <v>3</v>
      </c>
      <c r="G979" s="6" t="s">
        <v>395</v>
      </c>
      <c r="H979" s="6">
        <v>18.12</v>
      </c>
      <c r="I979" s="6" t="s">
        <v>35</v>
      </c>
    </row>
    <row r="980" spans="1:9" x14ac:dyDescent="0.35">
      <c r="A980" s="34">
        <v>45491</v>
      </c>
      <c r="B980" s="34" t="str">
        <f t="shared" si="31"/>
        <v>July</v>
      </c>
      <c r="C980" s="4" t="str">
        <f t="shared" si="30"/>
        <v>Thursday</v>
      </c>
      <c r="D980" s="5">
        <v>45491.481245648145</v>
      </c>
      <c r="E980" s="6" t="str" cm="1">
        <f t="array" ref="E980">_xlfn.IFS(HOUR(D980)&gt;=20,"20-24 ",HOUR(D980)&gt;=16,"16-20",HOUR(D980)&gt;=12,"12-16",HOUR(D980)&lt;12,"7-12")</f>
        <v>7-12</v>
      </c>
      <c r="F980" s="6" t="s">
        <v>3</v>
      </c>
      <c r="G980" s="6" t="s">
        <v>73</v>
      </c>
      <c r="H980" s="6">
        <v>23.02</v>
      </c>
      <c r="I980" s="6" t="s">
        <v>11</v>
      </c>
    </row>
    <row r="981" spans="1:9" x14ac:dyDescent="0.35">
      <c r="A981" s="34">
        <v>45491</v>
      </c>
      <c r="B981" s="34" t="str">
        <f t="shared" si="31"/>
        <v>July</v>
      </c>
      <c r="C981" s="4" t="str">
        <f t="shared" si="30"/>
        <v>Thursday</v>
      </c>
      <c r="D981" s="5">
        <v>45491.482505057873</v>
      </c>
      <c r="E981" s="6" t="str" cm="1">
        <f t="array" ref="E981">_xlfn.IFS(HOUR(D981)&gt;=20,"20-24 ",HOUR(D981)&gt;=16,"16-20",HOUR(D981)&gt;=12,"12-16",HOUR(D981)&lt;12,"7-12")</f>
        <v>7-12</v>
      </c>
      <c r="F981" s="6" t="s">
        <v>3</v>
      </c>
      <c r="G981" s="6" t="s">
        <v>73</v>
      </c>
      <c r="H981" s="6">
        <v>23.02</v>
      </c>
      <c r="I981" s="6" t="s">
        <v>11</v>
      </c>
    </row>
    <row r="982" spans="1:9" x14ac:dyDescent="0.35">
      <c r="A982" s="34">
        <v>45491</v>
      </c>
      <c r="B982" s="34" t="str">
        <f t="shared" si="31"/>
        <v>July</v>
      </c>
      <c r="C982" s="4" t="str">
        <f t="shared" si="30"/>
        <v>Thursday</v>
      </c>
      <c r="D982" s="5">
        <v>45491.483235011576</v>
      </c>
      <c r="E982" s="6" t="str" cm="1">
        <f t="array" ref="E982">_xlfn.IFS(HOUR(D982)&gt;=20,"20-24 ",HOUR(D982)&gt;=16,"16-20",HOUR(D982)&gt;=12,"12-16",HOUR(D982)&lt;12,"7-12")</f>
        <v>7-12</v>
      </c>
      <c r="F982" s="6" t="s">
        <v>3</v>
      </c>
      <c r="G982" s="6" t="s">
        <v>73</v>
      </c>
      <c r="H982" s="6">
        <v>23.02</v>
      </c>
      <c r="I982" s="6" t="s">
        <v>28</v>
      </c>
    </row>
    <row r="983" spans="1:9" x14ac:dyDescent="0.35">
      <c r="A983" s="34">
        <v>45491</v>
      </c>
      <c r="B983" s="34" t="str">
        <f t="shared" si="31"/>
        <v>July</v>
      </c>
      <c r="C983" s="4" t="str">
        <f t="shared" si="30"/>
        <v>Thursday</v>
      </c>
      <c r="D983" s="5">
        <v>45491.558030231485</v>
      </c>
      <c r="E983" s="6" t="str" cm="1">
        <f t="array" ref="E983">_xlfn.IFS(HOUR(D983)&gt;=20,"20-24 ",HOUR(D983)&gt;=16,"16-20",HOUR(D983)&gt;=12,"12-16",HOUR(D983)&lt;12,"7-12")</f>
        <v>12-16</v>
      </c>
      <c r="F983" s="6" t="s">
        <v>3</v>
      </c>
      <c r="G983" s="6" t="s">
        <v>389</v>
      </c>
      <c r="H983" s="6">
        <v>32.82</v>
      </c>
      <c r="I983" s="6" t="s">
        <v>7</v>
      </c>
    </row>
    <row r="984" spans="1:9" x14ac:dyDescent="0.35">
      <c r="A984" s="34">
        <v>45491</v>
      </c>
      <c r="B984" s="34" t="str">
        <f t="shared" si="31"/>
        <v>July</v>
      </c>
      <c r="C984" s="4" t="str">
        <f t="shared" si="30"/>
        <v>Thursday</v>
      </c>
      <c r="D984" s="5">
        <v>45491.762770578702</v>
      </c>
      <c r="E984" s="6" t="str" cm="1">
        <f t="array" ref="E984">_xlfn.IFS(HOUR(D984)&gt;=20,"20-24 ",HOUR(D984)&gt;=16,"16-20",HOUR(D984)&gt;=12,"12-16",HOUR(D984)&lt;12,"7-12")</f>
        <v>16-20</v>
      </c>
      <c r="F984" s="6" t="s">
        <v>3</v>
      </c>
      <c r="G984" s="6" t="s">
        <v>396</v>
      </c>
      <c r="H984" s="6">
        <v>32.82</v>
      </c>
      <c r="I984" s="6" t="s">
        <v>43</v>
      </c>
    </row>
    <row r="985" spans="1:9" x14ac:dyDescent="0.35">
      <c r="A985" s="34">
        <v>45491</v>
      </c>
      <c r="B985" s="34" t="str">
        <f t="shared" si="31"/>
        <v>July</v>
      </c>
      <c r="C985" s="4" t="str">
        <f t="shared" si="30"/>
        <v>Thursday</v>
      </c>
      <c r="D985" s="5">
        <v>45491.813085208334</v>
      </c>
      <c r="E985" s="6" t="str" cm="1">
        <f t="array" ref="E985">_xlfn.IFS(HOUR(D985)&gt;=20,"20-24 ",HOUR(D985)&gt;=16,"16-20",HOUR(D985)&gt;=12,"12-16",HOUR(D985)&lt;12,"7-12")</f>
        <v>16-20</v>
      </c>
      <c r="F985" s="6" t="s">
        <v>3</v>
      </c>
      <c r="G985" s="6" t="s">
        <v>19</v>
      </c>
      <c r="H985" s="6">
        <v>32.82</v>
      </c>
      <c r="I985" s="6" t="s">
        <v>7</v>
      </c>
    </row>
    <row r="986" spans="1:9" x14ac:dyDescent="0.35">
      <c r="A986" s="34">
        <v>45491</v>
      </c>
      <c r="B986" s="34" t="str">
        <f t="shared" si="31"/>
        <v>July</v>
      </c>
      <c r="C986" s="4" t="str">
        <f t="shared" si="30"/>
        <v>Thursday</v>
      </c>
      <c r="D986" s="5">
        <v>45491.888678402778</v>
      </c>
      <c r="E986" s="6" t="str" cm="1">
        <f t="array" ref="E986">_xlfn.IFS(HOUR(D986)&gt;=20,"20-24 ",HOUR(D986)&gt;=16,"16-20",HOUR(D986)&gt;=12,"12-16",HOUR(D986)&lt;12,"7-12")</f>
        <v xml:space="preserve">20-24 </v>
      </c>
      <c r="F986" s="6" t="s">
        <v>3</v>
      </c>
      <c r="G986" s="6" t="s">
        <v>397</v>
      </c>
      <c r="H986" s="6">
        <v>32.82</v>
      </c>
      <c r="I986" s="6" t="s">
        <v>9</v>
      </c>
    </row>
    <row r="987" spans="1:9" x14ac:dyDescent="0.35">
      <c r="A987" s="34">
        <v>45491</v>
      </c>
      <c r="B987" s="34" t="str">
        <f t="shared" si="31"/>
        <v>July</v>
      </c>
      <c r="C987" s="4" t="str">
        <f t="shared" si="30"/>
        <v>Thursday</v>
      </c>
      <c r="D987" s="5">
        <v>45491.890276099541</v>
      </c>
      <c r="E987" s="6" t="str" cm="1">
        <f t="array" ref="E987">_xlfn.IFS(HOUR(D987)&gt;=20,"20-24 ",HOUR(D987)&gt;=16,"16-20",HOUR(D987)&gt;=12,"12-16",HOUR(D987)&lt;12,"7-12")</f>
        <v xml:space="preserve">20-24 </v>
      </c>
      <c r="F987" s="6" t="s">
        <v>3</v>
      </c>
      <c r="G987" s="6" t="s">
        <v>397</v>
      </c>
      <c r="H987" s="6">
        <v>32.82</v>
      </c>
      <c r="I987" s="6" t="s">
        <v>7</v>
      </c>
    </row>
    <row r="988" spans="1:9" x14ac:dyDescent="0.35">
      <c r="A988" s="34">
        <v>45491</v>
      </c>
      <c r="B988" s="34" t="str">
        <f t="shared" si="31"/>
        <v>July</v>
      </c>
      <c r="C988" s="4" t="str">
        <f t="shared" si="30"/>
        <v>Thursday</v>
      </c>
      <c r="D988" s="5">
        <v>45491.907160578703</v>
      </c>
      <c r="E988" s="6" t="str" cm="1">
        <f t="array" ref="E988">_xlfn.IFS(HOUR(D988)&gt;=20,"20-24 ",HOUR(D988)&gt;=16,"16-20",HOUR(D988)&gt;=12,"12-16",HOUR(D988)&lt;12,"7-12")</f>
        <v xml:space="preserve">20-24 </v>
      </c>
      <c r="F988" s="6" t="s">
        <v>3</v>
      </c>
      <c r="G988" s="6" t="s">
        <v>398</v>
      </c>
      <c r="H988" s="6">
        <v>32.82</v>
      </c>
      <c r="I988" s="6" t="s">
        <v>7</v>
      </c>
    </row>
    <row r="989" spans="1:9" x14ac:dyDescent="0.35">
      <c r="A989" s="34">
        <v>45492</v>
      </c>
      <c r="B989" s="34" t="str">
        <f t="shared" si="31"/>
        <v>July</v>
      </c>
      <c r="C989" s="4" t="str">
        <f t="shared" si="30"/>
        <v>Friday</v>
      </c>
      <c r="D989" s="5">
        <v>45492.460443761571</v>
      </c>
      <c r="E989" s="6" t="str" cm="1">
        <f t="array" ref="E989">_xlfn.IFS(HOUR(D989)&gt;=20,"20-24 ",HOUR(D989)&gt;=16,"16-20",HOUR(D989)&gt;=12,"12-16",HOUR(D989)&lt;12,"7-12")</f>
        <v>7-12</v>
      </c>
      <c r="F989" s="6" t="s">
        <v>3</v>
      </c>
      <c r="G989" s="6" t="s">
        <v>389</v>
      </c>
      <c r="H989" s="6">
        <v>23.02</v>
      </c>
      <c r="I989" s="6" t="s">
        <v>11</v>
      </c>
    </row>
    <row r="990" spans="1:9" x14ac:dyDescent="0.35">
      <c r="A990" s="34">
        <v>45492</v>
      </c>
      <c r="B990" s="34" t="str">
        <f t="shared" si="31"/>
        <v>July</v>
      </c>
      <c r="C990" s="4" t="str">
        <f t="shared" si="30"/>
        <v>Friday</v>
      </c>
      <c r="D990" s="5">
        <v>45492.469681817129</v>
      </c>
      <c r="E990" s="6" t="str" cm="1">
        <f t="array" ref="E990">_xlfn.IFS(HOUR(D990)&gt;=20,"20-24 ",HOUR(D990)&gt;=16,"16-20",HOUR(D990)&gt;=12,"12-16",HOUR(D990)&lt;12,"7-12")</f>
        <v>7-12</v>
      </c>
      <c r="F990" s="6" t="s">
        <v>3</v>
      </c>
      <c r="G990" s="6" t="s">
        <v>399</v>
      </c>
      <c r="H990" s="6">
        <v>27.92</v>
      </c>
      <c r="I990" s="6" t="s">
        <v>14</v>
      </c>
    </row>
    <row r="991" spans="1:9" x14ac:dyDescent="0.35">
      <c r="A991" s="34">
        <v>45492</v>
      </c>
      <c r="B991" s="34" t="str">
        <f t="shared" si="31"/>
        <v>July</v>
      </c>
      <c r="C991" s="4" t="str">
        <f t="shared" si="30"/>
        <v>Friday</v>
      </c>
      <c r="D991" s="5">
        <v>45492.540712511574</v>
      </c>
      <c r="E991" s="6" t="str" cm="1">
        <f t="array" ref="E991">_xlfn.IFS(HOUR(D991)&gt;=20,"20-24 ",HOUR(D991)&gt;=16,"16-20",HOUR(D991)&gt;=12,"12-16",HOUR(D991)&lt;12,"7-12")</f>
        <v>12-16</v>
      </c>
      <c r="F991" s="6" t="s">
        <v>3</v>
      </c>
      <c r="G991" s="6" t="s">
        <v>400</v>
      </c>
      <c r="H991" s="6">
        <v>32.82</v>
      </c>
      <c r="I991" s="6" t="s">
        <v>7</v>
      </c>
    </row>
    <row r="992" spans="1:9" x14ac:dyDescent="0.35">
      <c r="A992" s="34">
        <v>45492</v>
      </c>
      <c r="B992" s="34" t="str">
        <f t="shared" si="31"/>
        <v>July</v>
      </c>
      <c r="C992" s="4" t="str">
        <f t="shared" si="30"/>
        <v>Friday</v>
      </c>
      <c r="D992" s="5">
        <v>45492.541613229165</v>
      </c>
      <c r="E992" s="6" t="str" cm="1">
        <f t="array" ref="E992">_xlfn.IFS(HOUR(D992)&gt;=20,"20-24 ",HOUR(D992)&gt;=16,"16-20",HOUR(D992)&gt;=12,"12-16",HOUR(D992)&lt;12,"7-12")</f>
        <v>12-16</v>
      </c>
      <c r="F992" s="6" t="s">
        <v>3</v>
      </c>
      <c r="G992" s="6" t="s">
        <v>400</v>
      </c>
      <c r="H992" s="6">
        <v>27.92</v>
      </c>
      <c r="I992" s="6" t="s">
        <v>14</v>
      </c>
    </row>
    <row r="993" spans="1:9" x14ac:dyDescent="0.35">
      <c r="A993" s="34">
        <v>45492</v>
      </c>
      <c r="B993" s="34" t="str">
        <f t="shared" si="31"/>
        <v>July</v>
      </c>
      <c r="C993" s="4" t="str">
        <f t="shared" si="30"/>
        <v>Friday</v>
      </c>
      <c r="D993" s="5">
        <v>45492.589823101851</v>
      </c>
      <c r="E993" s="6" t="str" cm="1">
        <f t="array" ref="E993">_xlfn.IFS(HOUR(D993)&gt;=20,"20-24 ",HOUR(D993)&gt;=16,"16-20",HOUR(D993)&gt;=12,"12-16",HOUR(D993)&lt;12,"7-12")</f>
        <v>12-16</v>
      </c>
      <c r="F993" s="6" t="s">
        <v>3</v>
      </c>
      <c r="G993" s="6" t="s">
        <v>398</v>
      </c>
      <c r="H993" s="6">
        <v>32.82</v>
      </c>
      <c r="I993" s="6" t="s">
        <v>7</v>
      </c>
    </row>
    <row r="994" spans="1:9" x14ac:dyDescent="0.35">
      <c r="A994" s="34">
        <v>45492</v>
      </c>
      <c r="B994" s="34" t="str">
        <f t="shared" si="31"/>
        <v>July</v>
      </c>
      <c r="C994" s="4" t="str">
        <f t="shared" si="30"/>
        <v>Friday</v>
      </c>
      <c r="D994" s="5">
        <v>45492.591228067133</v>
      </c>
      <c r="E994" s="6" t="str" cm="1">
        <f t="array" ref="E994">_xlfn.IFS(HOUR(D994)&gt;=20,"20-24 ",HOUR(D994)&gt;=16,"16-20",HOUR(D994)&gt;=12,"12-16",HOUR(D994)&lt;12,"7-12")</f>
        <v>12-16</v>
      </c>
      <c r="F994" s="6" t="s">
        <v>3</v>
      </c>
      <c r="G994" s="6" t="s">
        <v>398</v>
      </c>
      <c r="H994" s="6">
        <v>32.82</v>
      </c>
      <c r="I994" s="6" t="s">
        <v>18</v>
      </c>
    </row>
    <row r="995" spans="1:9" x14ac:dyDescent="0.35">
      <c r="A995" s="34">
        <v>45492</v>
      </c>
      <c r="B995" s="34" t="str">
        <f t="shared" si="31"/>
        <v>July</v>
      </c>
      <c r="C995" s="4" t="str">
        <f t="shared" si="30"/>
        <v>Friday</v>
      </c>
      <c r="D995" s="5">
        <v>45492.69188972222</v>
      </c>
      <c r="E995" s="6" t="str" cm="1">
        <f t="array" ref="E995">_xlfn.IFS(HOUR(D995)&gt;=20,"20-24 ",HOUR(D995)&gt;=16,"16-20",HOUR(D995)&gt;=12,"12-16",HOUR(D995)&lt;12,"7-12")</f>
        <v>16-20</v>
      </c>
      <c r="F995" s="6" t="s">
        <v>3</v>
      </c>
      <c r="G995" s="6" t="s">
        <v>398</v>
      </c>
      <c r="H995" s="6">
        <v>32.82</v>
      </c>
      <c r="I995" s="6" t="s">
        <v>7</v>
      </c>
    </row>
    <row r="996" spans="1:9" x14ac:dyDescent="0.35">
      <c r="A996" s="34">
        <v>45492</v>
      </c>
      <c r="B996" s="34" t="str">
        <f t="shared" si="31"/>
        <v>July</v>
      </c>
      <c r="C996" s="4" t="str">
        <f t="shared" si="30"/>
        <v>Friday</v>
      </c>
      <c r="D996" s="5">
        <v>45492.692775555559</v>
      </c>
      <c r="E996" s="6" t="str" cm="1">
        <f t="array" ref="E996">_xlfn.IFS(HOUR(D996)&gt;=20,"20-24 ",HOUR(D996)&gt;=16,"16-20",HOUR(D996)&gt;=12,"12-16",HOUR(D996)&lt;12,"7-12")</f>
        <v>16-20</v>
      </c>
      <c r="F996" s="6" t="s">
        <v>3</v>
      </c>
      <c r="G996" s="6" t="s">
        <v>398</v>
      </c>
      <c r="H996" s="6">
        <v>32.82</v>
      </c>
      <c r="I996" s="6" t="s">
        <v>7</v>
      </c>
    </row>
    <row r="997" spans="1:9" x14ac:dyDescent="0.35">
      <c r="A997" s="34">
        <v>45493</v>
      </c>
      <c r="B997" s="34" t="str">
        <f t="shared" si="31"/>
        <v>July</v>
      </c>
      <c r="C997" s="4" t="str">
        <f t="shared" si="30"/>
        <v>Saturday</v>
      </c>
      <c r="D997" s="5">
        <v>45493.337320243052</v>
      </c>
      <c r="E997" s="6" t="str" cm="1">
        <f t="array" ref="E997">_xlfn.IFS(HOUR(D997)&gt;=20,"20-24 ",HOUR(D997)&gt;=16,"16-20",HOUR(D997)&gt;=12,"12-16",HOUR(D997)&lt;12,"7-12")</f>
        <v>7-12</v>
      </c>
      <c r="F997" s="6" t="s">
        <v>3</v>
      </c>
      <c r="G997" s="6" t="s">
        <v>401</v>
      </c>
      <c r="H997" s="6">
        <v>23.02</v>
      </c>
      <c r="I997" s="6" t="s">
        <v>11</v>
      </c>
    </row>
    <row r="998" spans="1:9" x14ac:dyDescent="0.35">
      <c r="A998" s="34">
        <v>45493</v>
      </c>
      <c r="B998" s="34" t="str">
        <f t="shared" si="31"/>
        <v>July</v>
      </c>
      <c r="C998" s="4" t="str">
        <f t="shared" si="30"/>
        <v>Saturday</v>
      </c>
      <c r="D998" s="5">
        <v>45493.338063483796</v>
      </c>
      <c r="E998" s="6" t="str" cm="1">
        <f t="array" ref="E998">_xlfn.IFS(HOUR(D998)&gt;=20,"20-24 ",HOUR(D998)&gt;=16,"16-20",HOUR(D998)&gt;=12,"12-16",HOUR(D998)&lt;12,"7-12")</f>
        <v>7-12</v>
      </c>
      <c r="F998" s="6" t="s">
        <v>3</v>
      </c>
      <c r="G998" s="6" t="s">
        <v>401</v>
      </c>
      <c r="H998" s="6">
        <v>32.82</v>
      </c>
      <c r="I998" s="6" t="s">
        <v>7</v>
      </c>
    </row>
    <row r="999" spans="1:9" x14ac:dyDescent="0.35">
      <c r="A999" s="34">
        <v>45493</v>
      </c>
      <c r="B999" s="34" t="str">
        <f t="shared" si="31"/>
        <v>July</v>
      </c>
      <c r="C999" s="4" t="str">
        <f t="shared" si="30"/>
        <v>Saturday</v>
      </c>
      <c r="D999" s="5">
        <v>45493.338789733796</v>
      </c>
      <c r="E999" s="6" t="str" cm="1">
        <f t="array" ref="E999">_xlfn.IFS(HOUR(D999)&gt;=20,"20-24 ",HOUR(D999)&gt;=16,"16-20",HOUR(D999)&gt;=12,"12-16",HOUR(D999)&lt;12,"7-12")</f>
        <v>7-12</v>
      </c>
      <c r="F999" s="6" t="s">
        <v>3</v>
      </c>
      <c r="G999" s="6" t="s">
        <v>401</v>
      </c>
      <c r="H999" s="6">
        <v>23.02</v>
      </c>
      <c r="I999" s="6" t="s">
        <v>11</v>
      </c>
    </row>
    <row r="1000" spans="1:9" x14ac:dyDescent="0.35">
      <c r="A1000" s="34">
        <v>45493</v>
      </c>
      <c r="B1000" s="34" t="str">
        <f t="shared" si="31"/>
        <v>July</v>
      </c>
      <c r="C1000" s="4" t="str">
        <f t="shared" si="30"/>
        <v>Saturday</v>
      </c>
      <c r="D1000" s="5">
        <v>45493.37562042824</v>
      </c>
      <c r="E1000" s="6" t="str" cm="1">
        <f t="array" ref="E1000">_xlfn.IFS(HOUR(D1000)&gt;=20,"20-24 ",HOUR(D1000)&gt;=16,"16-20",HOUR(D1000)&gt;=12,"12-16",HOUR(D1000)&lt;12,"7-12")</f>
        <v>7-12</v>
      </c>
      <c r="F1000" s="6" t="s">
        <v>3</v>
      </c>
      <c r="G1000" s="6" t="s">
        <v>402</v>
      </c>
      <c r="H1000" s="6">
        <v>32.82</v>
      </c>
      <c r="I1000" s="6" t="s">
        <v>7</v>
      </c>
    </row>
    <row r="1001" spans="1:9" x14ac:dyDescent="0.35">
      <c r="A1001" s="34">
        <v>45493</v>
      </c>
      <c r="B1001" s="34" t="str">
        <f t="shared" si="31"/>
        <v>July</v>
      </c>
      <c r="C1001" s="4" t="str">
        <f t="shared" si="30"/>
        <v>Saturday</v>
      </c>
      <c r="D1001" s="5">
        <v>45493.376711203702</v>
      </c>
      <c r="E1001" s="6" t="str" cm="1">
        <f t="array" ref="E1001">_xlfn.IFS(HOUR(D1001)&gt;=20,"20-24 ",HOUR(D1001)&gt;=16,"16-20",HOUR(D1001)&gt;=12,"12-16",HOUR(D1001)&lt;12,"7-12")</f>
        <v>7-12</v>
      </c>
      <c r="F1001" s="6" t="s">
        <v>3</v>
      </c>
      <c r="G1001" s="6" t="s">
        <v>403</v>
      </c>
      <c r="H1001" s="6">
        <v>32.82</v>
      </c>
      <c r="I1001" s="6" t="s">
        <v>7</v>
      </c>
    </row>
    <row r="1002" spans="1:9" x14ac:dyDescent="0.35">
      <c r="A1002" s="34">
        <v>45493</v>
      </c>
      <c r="B1002" s="34" t="str">
        <f t="shared" si="31"/>
        <v>July</v>
      </c>
      <c r="C1002" s="4" t="str">
        <f t="shared" si="30"/>
        <v>Saturday</v>
      </c>
      <c r="D1002" s="5">
        <v>45493.443993564812</v>
      </c>
      <c r="E1002" s="6" t="str" cm="1">
        <f t="array" ref="E1002">_xlfn.IFS(HOUR(D1002)&gt;=20,"20-24 ",HOUR(D1002)&gt;=16,"16-20",HOUR(D1002)&gt;=12,"12-16",HOUR(D1002)&lt;12,"7-12")</f>
        <v>7-12</v>
      </c>
      <c r="F1002" s="6" t="s">
        <v>3</v>
      </c>
      <c r="G1002" s="6" t="s">
        <v>404</v>
      </c>
      <c r="H1002" s="6">
        <v>23.02</v>
      </c>
      <c r="I1002" s="6" t="s">
        <v>11</v>
      </c>
    </row>
    <row r="1003" spans="1:9" x14ac:dyDescent="0.35">
      <c r="A1003" s="34">
        <v>45493</v>
      </c>
      <c r="B1003" s="34" t="str">
        <f t="shared" si="31"/>
        <v>July</v>
      </c>
      <c r="C1003" s="4" t="str">
        <f t="shared" si="30"/>
        <v>Saturday</v>
      </c>
      <c r="D1003" s="5">
        <v>45493.635523391204</v>
      </c>
      <c r="E1003" s="6" t="str" cm="1">
        <f t="array" ref="E1003">_xlfn.IFS(HOUR(D1003)&gt;=20,"20-24 ",HOUR(D1003)&gt;=16,"16-20",HOUR(D1003)&gt;=12,"12-16",HOUR(D1003)&lt;12,"7-12")</f>
        <v>12-16</v>
      </c>
      <c r="F1003" s="6" t="s">
        <v>3</v>
      </c>
      <c r="G1003" s="6" t="s">
        <v>405</v>
      </c>
      <c r="H1003" s="6">
        <v>32.82</v>
      </c>
      <c r="I1003" s="6" t="s">
        <v>7</v>
      </c>
    </row>
    <row r="1004" spans="1:9" x14ac:dyDescent="0.35">
      <c r="A1004" s="34">
        <v>45494</v>
      </c>
      <c r="B1004" s="34" t="str">
        <f t="shared" si="31"/>
        <v>July</v>
      </c>
      <c r="C1004" s="4" t="str">
        <f t="shared" si="30"/>
        <v>Sunday</v>
      </c>
      <c r="D1004" s="5">
        <v>45494.43814604167</v>
      </c>
      <c r="E1004" s="6" t="str" cm="1">
        <f t="array" ref="E1004">_xlfn.IFS(HOUR(D1004)&gt;=20,"20-24 ",HOUR(D1004)&gt;=16,"16-20",HOUR(D1004)&gt;=12,"12-16",HOUR(D1004)&lt;12,"7-12")</f>
        <v>7-12</v>
      </c>
      <c r="F1004" s="6" t="s">
        <v>3</v>
      </c>
      <c r="G1004" s="6" t="s">
        <v>381</v>
      </c>
      <c r="H1004" s="6">
        <v>32.82</v>
      </c>
      <c r="I1004" s="6" t="s">
        <v>18</v>
      </c>
    </row>
    <row r="1005" spans="1:9" x14ac:dyDescent="0.35">
      <c r="A1005" s="34">
        <v>45494</v>
      </c>
      <c r="B1005" s="34" t="str">
        <f t="shared" si="31"/>
        <v>July</v>
      </c>
      <c r="C1005" s="4" t="str">
        <f t="shared" si="30"/>
        <v>Sunday</v>
      </c>
      <c r="D1005" s="5">
        <v>45494.485749722226</v>
      </c>
      <c r="E1005" s="6" t="str" cm="1">
        <f t="array" ref="E1005">_xlfn.IFS(HOUR(D1005)&gt;=20,"20-24 ",HOUR(D1005)&gt;=16,"16-20",HOUR(D1005)&gt;=12,"12-16",HOUR(D1005)&lt;12,"7-12")</f>
        <v>7-12</v>
      </c>
      <c r="F1005" s="6" t="s">
        <v>3</v>
      </c>
      <c r="G1005" s="6" t="s">
        <v>406</v>
      </c>
      <c r="H1005" s="6">
        <v>32.82</v>
      </c>
      <c r="I1005" s="6" t="s">
        <v>43</v>
      </c>
    </row>
    <row r="1006" spans="1:9" x14ac:dyDescent="0.35">
      <c r="A1006" s="34">
        <v>45494</v>
      </c>
      <c r="B1006" s="34" t="str">
        <f t="shared" si="31"/>
        <v>July</v>
      </c>
      <c r="C1006" s="4" t="str">
        <f t="shared" si="30"/>
        <v>Sunday</v>
      </c>
      <c r="D1006" s="5">
        <v>45494.565634826387</v>
      </c>
      <c r="E1006" s="6" t="str" cm="1">
        <f t="array" ref="E1006">_xlfn.IFS(HOUR(D1006)&gt;=20,"20-24 ",HOUR(D1006)&gt;=16,"16-20",HOUR(D1006)&gt;=12,"12-16",HOUR(D1006)&lt;12,"7-12")</f>
        <v>12-16</v>
      </c>
      <c r="F1006" s="6" t="s">
        <v>3</v>
      </c>
      <c r="G1006" s="6" t="s">
        <v>407</v>
      </c>
      <c r="H1006" s="6">
        <v>23.02</v>
      </c>
      <c r="I1006" s="6" t="s">
        <v>28</v>
      </c>
    </row>
    <row r="1007" spans="1:9" x14ac:dyDescent="0.35">
      <c r="A1007" s="34">
        <v>45494</v>
      </c>
      <c r="B1007" s="34" t="str">
        <f t="shared" si="31"/>
        <v>July</v>
      </c>
      <c r="C1007" s="4" t="str">
        <f t="shared" si="30"/>
        <v>Sunday</v>
      </c>
      <c r="D1007" s="5">
        <v>45494.571197268517</v>
      </c>
      <c r="E1007" s="6" t="str" cm="1">
        <f t="array" ref="E1007">_xlfn.IFS(HOUR(D1007)&gt;=20,"20-24 ",HOUR(D1007)&gt;=16,"16-20",HOUR(D1007)&gt;=12,"12-16",HOUR(D1007)&lt;12,"7-12")</f>
        <v>12-16</v>
      </c>
      <c r="F1007" s="6" t="s">
        <v>3</v>
      </c>
      <c r="G1007" s="6" t="s">
        <v>408</v>
      </c>
      <c r="H1007" s="6">
        <v>32.82</v>
      </c>
      <c r="I1007" s="6" t="s">
        <v>7</v>
      </c>
    </row>
    <row r="1008" spans="1:9" x14ac:dyDescent="0.35">
      <c r="A1008" s="34">
        <v>45495</v>
      </c>
      <c r="B1008" s="34" t="str">
        <f t="shared" si="31"/>
        <v>July</v>
      </c>
      <c r="C1008" s="4" t="str">
        <f t="shared" si="30"/>
        <v>Monday</v>
      </c>
      <c r="D1008" s="5">
        <v>45495.342629016202</v>
      </c>
      <c r="E1008" s="6" t="str" cm="1">
        <f t="array" ref="E1008">_xlfn.IFS(HOUR(D1008)&gt;=20,"20-24 ",HOUR(D1008)&gt;=16,"16-20",HOUR(D1008)&gt;=12,"12-16",HOUR(D1008)&lt;12,"7-12")</f>
        <v>7-12</v>
      </c>
      <c r="F1008" s="6" t="s">
        <v>3</v>
      </c>
      <c r="G1008" s="6" t="s">
        <v>389</v>
      </c>
      <c r="H1008" s="6">
        <v>23.02</v>
      </c>
      <c r="I1008" s="6" t="s">
        <v>11</v>
      </c>
    </row>
    <row r="1009" spans="1:9" x14ac:dyDescent="0.35">
      <c r="A1009" s="34">
        <v>45495</v>
      </c>
      <c r="B1009" s="34" t="str">
        <f t="shared" si="31"/>
        <v>July</v>
      </c>
      <c r="C1009" s="4" t="str">
        <f t="shared" si="30"/>
        <v>Monday</v>
      </c>
      <c r="D1009" s="5">
        <v>45495.36168465278</v>
      </c>
      <c r="E1009" s="6" t="str" cm="1">
        <f t="array" ref="E1009">_xlfn.IFS(HOUR(D1009)&gt;=20,"20-24 ",HOUR(D1009)&gt;=16,"16-20",HOUR(D1009)&gt;=12,"12-16",HOUR(D1009)&lt;12,"7-12")</f>
        <v>7-12</v>
      </c>
      <c r="F1009" s="6" t="s">
        <v>3</v>
      </c>
      <c r="G1009" s="6" t="s">
        <v>409</v>
      </c>
      <c r="H1009" s="6">
        <v>23.02</v>
      </c>
      <c r="I1009" s="6" t="s">
        <v>11</v>
      </c>
    </row>
    <row r="1010" spans="1:9" x14ac:dyDescent="0.35">
      <c r="A1010" s="34">
        <v>45495</v>
      </c>
      <c r="B1010" s="34" t="str">
        <f t="shared" si="31"/>
        <v>July</v>
      </c>
      <c r="C1010" s="4" t="str">
        <f t="shared" si="30"/>
        <v>Monday</v>
      </c>
      <c r="D1010" s="5">
        <v>45495.42751465278</v>
      </c>
      <c r="E1010" s="6" t="str" cm="1">
        <f t="array" ref="E1010">_xlfn.IFS(HOUR(D1010)&gt;=20,"20-24 ",HOUR(D1010)&gt;=16,"16-20",HOUR(D1010)&gt;=12,"12-16",HOUR(D1010)&lt;12,"7-12")</f>
        <v>7-12</v>
      </c>
      <c r="F1010" s="6" t="s">
        <v>3</v>
      </c>
      <c r="G1010" s="6" t="s">
        <v>399</v>
      </c>
      <c r="H1010" s="6">
        <v>27.92</v>
      </c>
      <c r="I1010" s="6" t="s">
        <v>14</v>
      </c>
    </row>
    <row r="1011" spans="1:9" x14ac:dyDescent="0.35">
      <c r="A1011" s="34">
        <v>45495</v>
      </c>
      <c r="B1011" s="34" t="str">
        <f t="shared" si="31"/>
        <v>July</v>
      </c>
      <c r="C1011" s="4" t="str">
        <f t="shared" si="30"/>
        <v>Monday</v>
      </c>
      <c r="D1011" s="5">
        <v>45495.697657326389</v>
      </c>
      <c r="E1011" s="6" t="str" cm="1">
        <f t="array" ref="E1011">_xlfn.IFS(HOUR(D1011)&gt;=20,"20-24 ",HOUR(D1011)&gt;=16,"16-20",HOUR(D1011)&gt;=12,"12-16",HOUR(D1011)&lt;12,"7-12")</f>
        <v>16-20</v>
      </c>
      <c r="F1011" s="6" t="s">
        <v>3</v>
      </c>
      <c r="G1011" s="6" t="s">
        <v>410</v>
      </c>
      <c r="H1011" s="6">
        <v>32.82</v>
      </c>
      <c r="I1011" s="6" t="s">
        <v>7</v>
      </c>
    </row>
    <row r="1012" spans="1:9" x14ac:dyDescent="0.35">
      <c r="A1012" s="34">
        <v>45496</v>
      </c>
      <c r="B1012" s="34" t="str">
        <f t="shared" si="31"/>
        <v>July</v>
      </c>
      <c r="C1012" s="4" t="str">
        <f t="shared" si="30"/>
        <v>Tuesday</v>
      </c>
      <c r="D1012" s="5">
        <v>45496.342317465278</v>
      </c>
      <c r="E1012" s="6" t="str" cm="1">
        <f t="array" ref="E1012">_xlfn.IFS(HOUR(D1012)&gt;=20,"20-24 ",HOUR(D1012)&gt;=16,"16-20",HOUR(D1012)&gt;=12,"12-16",HOUR(D1012)&lt;12,"7-12")</f>
        <v>7-12</v>
      </c>
      <c r="F1012" s="6" t="s">
        <v>3</v>
      </c>
      <c r="G1012" s="6" t="s">
        <v>211</v>
      </c>
      <c r="H1012" s="6">
        <v>32.82</v>
      </c>
      <c r="I1012" s="6" t="s">
        <v>7</v>
      </c>
    </row>
    <row r="1013" spans="1:9" x14ac:dyDescent="0.35">
      <c r="A1013" s="34">
        <v>45496</v>
      </c>
      <c r="B1013" s="34" t="str">
        <f t="shared" si="31"/>
        <v>July</v>
      </c>
      <c r="C1013" s="4" t="str">
        <f t="shared" si="30"/>
        <v>Tuesday</v>
      </c>
      <c r="D1013" s="5">
        <v>45496.361330798609</v>
      </c>
      <c r="E1013" s="6" t="str" cm="1">
        <f t="array" ref="E1013">_xlfn.IFS(HOUR(D1013)&gt;=20,"20-24 ",HOUR(D1013)&gt;=16,"16-20",HOUR(D1013)&gt;=12,"12-16",HOUR(D1013)&lt;12,"7-12")</f>
        <v>7-12</v>
      </c>
      <c r="F1013" s="6" t="s">
        <v>3</v>
      </c>
      <c r="G1013" s="6" t="s">
        <v>409</v>
      </c>
      <c r="H1013" s="6">
        <v>23.02</v>
      </c>
      <c r="I1013" s="6" t="s">
        <v>11</v>
      </c>
    </row>
    <row r="1014" spans="1:9" x14ac:dyDescent="0.35">
      <c r="A1014" s="34">
        <v>45496</v>
      </c>
      <c r="B1014" s="34" t="str">
        <f t="shared" si="31"/>
        <v>July</v>
      </c>
      <c r="C1014" s="4" t="str">
        <f t="shared" si="30"/>
        <v>Tuesday</v>
      </c>
      <c r="D1014" s="5">
        <v>45496.36451175926</v>
      </c>
      <c r="E1014" s="6" t="str" cm="1">
        <f t="array" ref="E1014">_xlfn.IFS(HOUR(D1014)&gt;=20,"20-24 ",HOUR(D1014)&gt;=16,"16-20",HOUR(D1014)&gt;=12,"12-16",HOUR(D1014)&lt;12,"7-12")</f>
        <v>7-12</v>
      </c>
      <c r="F1014" s="6" t="s">
        <v>3</v>
      </c>
      <c r="G1014" s="6" t="s">
        <v>411</v>
      </c>
      <c r="H1014" s="6">
        <v>27.92</v>
      </c>
      <c r="I1014" s="6" t="s">
        <v>14</v>
      </c>
    </row>
    <row r="1015" spans="1:9" x14ac:dyDescent="0.35">
      <c r="A1015" s="34">
        <v>45496</v>
      </c>
      <c r="B1015" s="34" t="str">
        <f t="shared" si="31"/>
        <v>July</v>
      </c>
      <c r="C1015" s="4" t="str">
        <f t="shared" si="30"/>
        <v>Tuesday</v>
      </c>
      <c r="D1015" s="5">
        <v>45496.367651701388</v>
      </c>
      <c r="E1015" s="6" t="str" cm="1">
        <f t="array" ref="E1015">_xlfn.IFS(HOUR(D1015)&gt;=20,"20-24 ",HOUR(D1015)&gt;=16,"16-20",HOUR(D1015)&gt;=12,"12-16",HOUR(D1015)&lt;12,"7-12")</f>
        <v>7-12</v>
      </c>
      <c r="F1015" s="6" t="s">
        <v>3</v>
      </c>
      <c r="G1015" s="6" t="s">
        <v>412</v>
      </c>
      <c r="H1015" s="6">
        <v>32.82</v>
      </c>
      <c r="I1015" s="6" t="s">
        <v>18</v>
      </c>
    </row>
    <row r="1016" spans="1:9" x14ac:dyDescent="0.35">
      <c r="A1016" s="34">
        <v>45496</v>
      </c>
      <c r="B1016" s="34" t="str">
        <f t="shared" si="31"/>
        <v>July</v>
      </c>
      <c r="C1016" s="4" t="str">
        <f t="shared" si="30"/>
        <v>Tuesday</v>
      </c>
      <c r="D1016" s="5">
        <v>45496.368869965278</v>
      </c>
      <c r="E1016" s="6" t="str" cm="1">
        <f t="array" ref="E1016">_xlfn.IFS(HOUR(D1016)&gt;=20,"20-24 ",HOUR(D1016)&gt;=16,"16-20",HOUR(D1016)&gt;=12,"12-16",HOUR(D1016)&lt;12,"7-12")</f>
        <v>7-12</v>
      </c>
      <c r="F1016" s="6" t="s">
        <v>3</v>
      </c>
      <c r="G1016" s="6" t="s">
        <v>413</v>
      </c>
      <c r="H1016" s="6">
        <v>32.82</v>
      </c>
      <c r="I1016" s="6" t="s">
        <v>7</v>
      </c>
    </row>
    <row r="1017" spans="1:9" x14ac:dyDescent="0.35">
      <c r="A1017" s="34">
        <v>45496</v>
      </c>
      <c r="B1017" s="34" t="str">
        <f t="shared" si="31"/>
        <v>July</v>
      </c>
      <c r="C1017" s="4" t="str">
        <f t="shared" si="30"/>
        <v>Tuesday</v>
      </c>
      <c r="D1017" s="5">
        <v>45496.376223460647</v>
      </c>
      <c r="E1017" s="6" t="str" cm="1">
        <f t="array" ref="E1017">_xlfn.IFS(HOUR(D1017)&gt;=20,"20-24 ",HOUR(D1017)&gt;=16,"16-20",HOUR(D1017)&gt;=12,"12-16",HOUR(D1017)&lt;12,"7-12")</f>
        <v>7-12</v>
      </c>
      <c r="F1017" s="6" t="s">
        <v>3</v>
      </c>
      <c r="G1017" s="6" t="s">
        <v>389</v>
      </c>
      <c r="H1017" s="6">
        <v>23.02</v>
      </c>
      <c r="I1017" s="6" t="s">
        <v>11</v>
      </c>
    </row>
    <row r="1018" spans="1:9" x14ac:dyDescent="0.35">
      <c r="A1018" s="34">
        <v>45496</v>
      </c>
      <c r="B1018" s="34" t="str">
        <f t="shared" si="31"/>
        <v>July</v>
      </c>
      <c r="C1018" s="4" t="str">
        <f t="shared" si="30"/>
        <v>Tuesday</v>
      </c>
      <c r="D1018" s="5">
        <v>45496.419172361107</v>
      </c>
      <c r="E1018" s="6" t="str" cm="1">
        <f t="array" ref="E1018">_xlfn.IFS(HOUR(D1018)&gt;=20,"20-24 ",HOUR(D1018)&gt;=16,"16-20",HOUR(D1018)&gt;=12,"12-16",HOUR(D1018)&lt;12,"7-12")</f>
        <v>7-12</v>
      </c>
      <c r="F1018" s="6" t="s">
        <v>3</v>
      </c>
      <c r="G1018" s="6" t="s">
        <v>414</v>
      </c>
      <c r="H1018" s="6">
        <v>27.92</v>
      </c>
      <c r="I1018" s="6" t="s">
        <v>14</v>
      </c>
    </row>
    <row r="1019" spans="1:9" x14ac:dyDescent="0.35">
      <c r="A1019" s="34">
        <v>45496</v>
      </c>
      <c r="B1019" s="34" t="str">
        <f t="shared" si="31"/>
        <v>July</v>
      </c>
      <c r="C1019" s="4" t="str">
        <f t="shared" si="30"/>
        <v>Tuesday</v>
      </c>
      <c r="D1019" s="5">
        <v>45496.638946423613</v>
      </c>
      <c r="E1019" s="6" t="str" cm="1">
        <f t="array" ref="E1019">_xlfn.IFS(HOUR(D1019)&gt;=20,"20-24 ",HOUR(D1019)&gt;=16,"16-20",HOUR(D1019)&gt;=12,"12-16",HOUR(D1019)&lt;12,"7-12")</f>
        <v>12-16</v>
      </c>
      <c r="F1019" s="6" t="s">
        <v>3</v>
      </c>
      <c r="G1019" s="6" t="s">
        <v>415</v>
      </c>
      <c r="H1019" s="6">
        <v>27.92</v>
      </c>
      <c r="I1019" s="6" t="s">
        <v>14</v>
      </c>
    </row>
    <row r="1020" spans="1:9" x14ac:dyDescent="0.35">
      <c r="A1020" s="34">
        <v>45496</v>
      </c>
      <c r="B1020" s="34" t="str">
        <f t="shared" si="31"/>
        <v>July</v>
      </c>
      <c r="C1020" s="4" t="str">
        <f t="shared" si="30"/>
        <v>Tuesday</v>
      </c>
      <c r="D1020" s="5">
        <v>45496.639598148147</v>
      </c>
      <c r="E1020" s="6" t="str" cm="1">
        <f t="array" ref="E1020">_xlfn.IFS(HOUR(D1020)&gt;=20,"20-24 ",HOUR(D1020)&gt;=16,"16-20",HOUR(D1020)&gt;=12,"12-16",HOUR(D1020)&lt;12,"7-12")</f>
        <v>12-16</v>
      </c>
      <c r="F1020" s="6" t="s">
        <v>3</v>
      </c>
      <c r="G1020" s="6" t="s">
        <v>415</v>
      </c>
      <c r="H1020" s="6">
        <v>32.82</v>
      </c>
      <c r="I1020" s="6" t="s">
        <v>7</v>
      </c>
    </row>
    <row r="1021" spans="1:9" x14ac:dyDescent="0.35">
      <c r="A1021" s="34">
        <v>45496</v>
      </c>
      <c r="B1021" s="34" t="str">
        <f t="shared" si="31"/>
        <v>July</v>
      </c>
      <c r="C1021" s="4" t="str">
        <f t="shared" si="30"/>
        <v>Tuesday</v>
      </c>
      <c r="D1021" s="5">
        <v>45496.876164490743</v>
      </c>
      <c r="E1021" s="6" t="str" cm="1">
        <f t="array" ref="E1021">_xlfn.IFS(HOUR(D1021)&gt;=20,"20-24 ",HOUR(D1021)&gt;=16,"16-20",HOUR(D1021)&gt;=12,"12-16",HOUR(D1021)&lt;12,"7-12")</f>
        <v xml:space="preserve">20-24 </v>
      </c>
      <c r="F1021" s="6" t="s">
        <v>3</v>
      </c>
      <c r="G1021" s="6" t="s">
        <v>19</v>
      </c>
      <c r="H1021" s="6">
        <v>32.82</v>
      </c>
      <c r="I1021" s="6" t="s">
        <v>7</v>
      </c>
    </row>
    <row r="1022" spans="1:9" x14ac:dyDescent="0.35">
      <c r="A1022" s="34">
        <v>45496</v>
      </c>
      <c r="B1022" s="34" t="str">
        <f t="shared" si="31"/>
        <v>July</v>
      </c>
      <c r="C1022" s="4" t="str">
        <f t="shared" si="30"/>
        <v>Tuesday</v>
      </c>
      <c r="D1022" s="5">
        <v>45496.891128483796</v>
      </c>
      <c r="E1022" s="6" t="str" cm="1">
        <f t="array" ref="E1022">_xlfn.IFS(HOUR(D1022)&gt;=20,"20-24 ",HOUR(D1022)&gt;=16,"16-20",HOUR(D1022)&gt;=12,"12-16",HOUR(D1022)&lt;12,"7-12")</f>
        <v xml:space="preserve">20-24 </v>
      </c>
      <c r="F1022" s="6" t="s">
        <v>3</v>
      </c>
      <c r="G1022" s="6" t="s">
        <v>23</v>
      </c>
      <c r="H1022" s="6">
        <v>23.02</v>
      </c>
      <c r="I1022" s="6" t="s">
        <v>11</v>
      </c>
    </row>
    <row r="1023" spans="1:9" x14ac:dyDescent="0.35">
      <c r="A1023" s="34">
        <v>45496</v>
      </c>
      <c r="B1023" s="34" t="str">
        <f t="shared" si="31"/>
        <v>July</v>
      </c>
      <c r="C1023" s="4" t="str">
        <f t="shared" si="30"/>
        <v>Tuesday</v>
      </c>
      <c r="D1023" s="5">
        <v>45496.891928344907</v>
      </c>
      <c r="E1023" s="6" t="str" cm="1">
        <f t="array" ref="E1023">_xlfn.IFS(HOUR(D1023)&gt;=20,"20-24 ",HOUR(D1023)&gt;=16,"16-20",HOUR(D1023)&gt;=12,"12-16",HOUR(D1023)&lt;12,"7-12")</f>
        <v xml:space="preserve">20-24 </v>
      </c>
      <c r="F1023" s="6" t="s">
        <v>3</v>
      </c>
      <c r="G1023" s="6" t="s">
        <v>23</v>
      </c>
      <c r="H1023" s="6">
        <v>23.02</v>
      </c>
      <c r="I1023" s="6" t="s">
        <v>11</v>
      </c>
    </row>
    <row r="1024" spans="1:9" x14ac:dyDescent="0.35">
      <c r="A1024" s="34">
        <v>45497</v>
      </c>
      <c r="B1024" s="34" t="str">
        <f t="shared" si="31"/>
        <v>July</v>
      </c>
      <c r="C1024" s="4" t="str">
        <f t="shared" si="30"/>
        <v>Wednesday</v>
      </c>
      <c r="D1024" s="5">
        <v>45497.386224699076</v>
      </c>
      <c r="E1024" s="6" t="str" cm="1">
        <f t="array" ref="E1024">_xlfn.IFS(HOUR(D1024)&gt;=20,"20-24 ",HOUR(D1024)&gt;=16,"16-20",HOUR(D1024)&gt;=12,"12-16",HOUR(D1024)&lt;12,"7-12")</f>
        <v>7-12</v>
      </c>
      <c r="F1024" s="6" t="s">
        <v>3</v>
      </c>
      <c r="G1024" s="6" t="s">
        <v>111</v>
      </c>
      <c r="H1024" s="6">
        <v>27.92</v>
      </c>
      <c r="I1024" s="6" t="s">
        <v>14</v>
      </c>
    </row>
    <row r="1025" spans="1:9" x14ac:dyDescent="0.35">
      <c r="A1025" s="34">
        <v>45497</v>
      </c>
      <c r="B1025" s="34" t="str">
        <f t="shared" si="31"/>
        <v>July</v>
      </c>
      <c r="C1025" s="4" t="str">
        <f t="shared" si="30"/>
        <v>Wednesday</v>
      </c>
      <c r="D1025" s="5">
        <v>45497.402025543983</v>
      </c>
      <c r="E1025" s="6" t="str" cm="1">
        <f t="array" ref="E1025">_xlfn.IFS(HOUR(D1025)&gt;=20,"20-24 ",HOUR(D1025)&gt;=16,"16-20",HOUR(D1025)&gt;=12,"12-16",HOUR(D1025)&lt;12,"7-12")</f>
        <v>7-12</v>
      </c>
      <c r="F1025" s="6" t="s">
        <v>3</v>
      </c>
      <c r="G1025" s="6" t="s">
        <v>399</v>
      </c>
      <c r="H1025" s="6">
        <v>27.92</v>
      </c>
      <c r="I1025" s="6" t="s">
        <v>14</v>
      </c>
    </row>
    <row r="1026" spans="1:9" x14ac:dyDescent="0.35">
      <c r="A1026" s="34">
        <v>45497</v>
      </c>
      <c r="B1026" s="34" t="str">
        <f t="shared" si="31"/>
        <v>July</v>
      </c>
      <c r="C1026" s="4" t="str">
        <f t="shared" ref="C1026:C1089" si="32">TEXT(A1026,"ddddddddd")</f>
        <v>Wednesday</v>
      </c>
      <c r="D1026" s="5">
        <v>45497.412933518521</v>
      </c>
      <c r="E1026" s="6" t="str" cm="1">
        <f t="array" ref="E1026">_xlfn.IFS(HOUR(D1026)&gt;=20,"20-24 ",HOUR(D1026)&gt;=16,"16-20",HOUR(D1026)&gt;=12,"12-16",HOUR(D1026)&lt;12,"7-12")</f>
        <v>7-12</v>
      </c>
      <c r="F1026" s="6" t="s">
        <v>3</v>
      </c>
      <c r="G1026" s="6" t="s">
        <v>416</v>
      </c>
      <c r="H1026" s="6">
        <v>18.12</v>
      </c>
      <c r="I1026" s="6" t="s">
        <v>35</v>
      </c>
    </row>
    <row r="1027" spans="1:9" x14ac:dyDescent="0.35">
      <c r="A1027" s="34">
        <v>45497</v>
      </c>
      <c r="B1027" s="34" t="str">
        <f t="shared" ref="B1027:B1090" si="33">TEXT(A1027, "mmmm")</f>
        <v>July</v>
      </c>
      <c r="C1027" s="4" t="str">
        <f t="shared" si="32"/>
        <v>Wednesday</v>
      </c>
      <c r="D1027" s="5">
        <v>45497.488809270835</v>
      </c>
      <c r="E1027" s="6" t="str" cm="1">
        <f t="array" ref="E1027">_xlfn.IFS(HOUR(D1027)&gt;=20,"20-24 ",HOUR(D1027)&gt;=16,"16-20",HOUR(D1027)&gt;=12,"12-16",HOUR(D1027)&lt;12,"7-12")</f>
        <v>7-12</v>
      </c>
      <c r="F1027" s="6" t="s">
        <v>3</v>
      </c>
      <c r="G1027" s="6" t="s">
        <v>393</v>
      </c>
      <c r="H1027" s="6">
        <v>32.82</v>
      </c>
      <c r="I1027" s="6" t="s">
        <v>43</v>
      </c>
    </row>
    <row r="1028" spans="1:9" x14ac:dyDescent="0.35">
      <c r="A1028" s="34">
        <v>45497</v>
      </c>
      <c r="B1028" s="34" t="str">
        <f t="shared" si="33"/>
        <v>July</v>
      </c>
      <c r="C1028" s="4" t="str">
        <f t="shared" si="32"/>
        <v>Wednesday</v>
      </c>
      <c r="D1028" s="5">
        <v>45497.580021076392</v>
      </c>
      <c r="E1028" s="6" t="str" cm="1">
        <f t="array" ref="E1028">_xlfn.IFS(HOUR(D1028)&gt;=20,"20-24 ",HOUR(D1028)&gt;=16,"16-20",HOUR(D1028)&gt;=12,"12-16",HOUR(D1028)&lt;12,"7-12")</f>
        <v>12-16</v>
      </c>
      <c r="F1028" s="6" t="s">
        <v>3</v>
      </c>
      <c r="G1028" s="6" t="s">
        <v>413</v>
      </c>
      <c r="H1028" s="6">
        <v>32.82</v>
      </c>
      <c r="I1028" s="6" t="s">
        <v>7</v>
      </c>
    </row>
    <row r="1029" spans="1:9" x14ac:dyDescent="0.35">
      <c r="A1029" s="34">
        <v>45497</v>
      </c>
      <c r="B1029" s="34" t="str">
        <f t="shared" si="33"/>
        <v>July</v>
      </c>
      <c r="C1029" s="4" t="str">
        <f t="shared" si="32"/>
        <v>Wednesday</v>
      </c>
      <c r="D1029" s="5">
        <v>45497.615159328707</v>
      </c>
      <c r="E1029" s="6" t="str" cm="1">
        <f t="array" ref="E1029">_xlfn.IFS(HOUR(D1029)&gt;=20,"20-24 ",HOUR(D1029)&gt;=16,"16-20",HOUR(D1029)&gt;=12,"12-16",HOUR(D1029)&lt;12,"7-12")</f>
        <v>12-16</v>
      </c>
      <c r="F1029" s="6" t="s">
        <v>3</v>
      </c>
      <c r="G1029" s="6" t="s">
        <v>23</v>
      </c>
      <c r="H1029" s="6">
        <v>18.12</v>
      </c>
      <c r="I1029" s="6" t="s">
        <v>35</v>
      </c>
    </row>
    <row r="1030" spans="1:9" x14ac:dyDescent="0.35">
      <c r="A1030" s="34">
        <v>45497</v>
      </c>
      <c r="B1030" s="34" t="str">
        <f t="shared" si="33"/>
        <v>July</v>
      </c>
      <c r="C1030" s="4" t="str">
        <f t="shared" si="32"/>
        <v>Wednesday</v>
      </c>
      <c r="D1030" s="5">
        <v>45497.637853263892</v>
      </c>
      <c r="E1030" s="6" t="str" cm="1">
        <f t="array" ref="E1030">_xlfn.IFS(HOUR(D1030)&gt;=20,"20-24 ",HOUR(D1030)&gt;=16,"16-20",HOUR(D1030)&gt;=12,"12-16",HOUR(D1030)&lt;12,"7-12")</f>
        <v>12-16</v>
      </c>
      <c r="F1030" s="6" t="s">
        <v>3</v>
      </c>
      <c r="G1030" s="6" t="s">
        <v>19</v>
      </c>
      <c r="H1030" s="6">
        <v>32.82</v>
      </c>
      <c r="I1030" s="6" t="s">
        <v>7</v>
      </c>
    </row>
    <row r="1031" spans="1:9" x14ac:dyDescent="0.35">
      <c r="A1031" s="34">
        <v>45497</v>
      </c>
      <c r="B1031" s="34" t="str">
        <f t="shared" si="33"/>
        <v>July</v>
      </c>
      <c r="C1031" s="4" t="str">
        <f t="shared" si="32"/>
        <v>Wednesday</v>
      </c>
      <c r="D1031" s="5">
        <v>45497.802149050927</v>
      </c>
      <c r="E1031" s="6" t="str" cm="1">
        <f t="array" ref="E1031">_xlfn.IFS(HOUR(D1031)&gt;=20,"20-24 ",HOUR(D1031)&gt;=16,"16-20",HOUR(D1031)&gt;=12,"12-16",HOUR(D1031)&lt;12,"7-12")</f>
        <v>16-20</v>
      </c>
      <c r="F1031" s="6" t="s">
        <v>3</v>
      </c>
      <c r="G1031" s="6" t="s">
        <v>219</v>
      </c>
      <c r="H1031" s="6">
        <v>32.82</v>
      </c>
      <c r="I1031" s="6" t="s">
        <v>43</v>
      </c>
    </row>
    <row r="1032" spans="1:9" x14ac:dyDescent="0.35">
      <c r="A1032" s="34">
        <v>45497</v>
      </c>
      <c r="B1032" s="34" t="str">
        <f t="shared" si="33"/>
        <v>July</v>
      </c>
      <c r="C1032" s="4" t="str">
        <f t="shared" si="32"/>
        <v>Wednesday</v>
      </c>
      <c r="D1032" s="5">
        <v>45497.803469664352</v>
      </c>
      <c r="E1032" s="6" t="str" cm="1">
        <f t="array" ref="E1032">_xlfn.IFS(HOUR(D1032)&gt;=20,"20-24 ",HOUR(D1032)&gt;=16,"16-20",HOUR(D1032)&gt;=12,"12-16",HOUR(D1032)&lt;12,"7-12")</f>
        <v>16-20</v>
      </c>
      <c r="F1032" s="6" t="s">
        <v>3</v>
      </c>
      <c r="G1032" s="6" t="s">
        <v>219</v>
      </c>
      <c r="H1032" s="6">
        <v>32.82</v>
      </c>
      <c r="I1032" s="6" t="s">
        <v>43</v>
      </c>
    </row>
    <row r="1033" spans="1:9" x14ac:dyDescent="0.35">
      <c r="A1033" s="34">
        <v>45497</v>
      </c>
      <c r="B1033" s="34" t="str">
        <f t="shared" si="33"/>
        <v>July</v>
      </c>
      <c r="C1033" s="4" t="str">
        <f t="shared" si="32"/>
        <v>Wednesday</v>
      </c>
      <c r="D1033" s="5">
        <v>45497.887231446759</v>
      </c>
      <c r="E1033" s="6" t="str" cm="1">
        <f t="array" ref="E1033">_xlfn.IFS(HOUR(D1033)&gt;=20,"20-24 ",HOUR(D1033)&gt;=16,"16-20",HOUR(D1033)&gt;=12,"12-16",HOUR(D1033)&lt;12,"7-12")</f>
        <v xml:space="preserve">20-24 </v>
      </c>
      <c r="F1033" s="6" t="s">
        <v>3</v>
      </c>
      <c r="G1033" s="6" t="s">
        <v>54</v>
      </c>
      <c r="H1033" s="6">
        <v>27.92</v>
      </c>
      <c r="I1033" s="6" t="s">
        <v>14</v>
      </c>
    </row>
    <row r="1034" spans="1:9" x14ac:dyDescent="0.35">
      <c r="A1034" s="34">
        <v>45497</v>
      </c>
      <c r="B1034" s="34" t="str">
        <f t="shared" si="33"/>
        <v>July</v>
      </c>
      <c r="C1034" s="4" t="str">
        <f t="shared" si="32"/>
        <v>Wednesday</v>
      </c>
      <c r="D1034" s="5">
        <v>45497.887977939812</v>
      </c>
      <c r="E1034" s="6" t="str" cm="1">
        <f t="array" ref="E1034">_xlfn.IFS(HOUR(D1034)&gt;=20,"20-24 ",HOUR(D1034)&gt;=16,"16-20",HOUR(D1034)&gt;=12,"12-16",HOUR(D1034)&lt;12,"7-12")</f>
        <v xml:space="preserve">20-24 </v>
      </c>
      <c r="F1034" s="6" t="s">
        <v>3</v>
      </c>
      <c r="G1034" s="6" t="s">
        <v>54</v>
      </c>
      <c r="H1034" s="6">
        <v>23.02</v>
      </c>
      <c r="I1034" s="6" t="s">
        <v>11</v>
      </c>
    </row>
    <row r="1035" spans="1:9" x14ac:dyDescent="0.35">
      <c r="A1035" s="34">
        <v>45497</v>
      </c>
      <c r="B1035" s="34" t="str">
        <f t="shared" si="33"/>
        <v>July</v>
      </c>
      <c r="C1035" s="4" t="str">
        <f t="shared" si="32"/>
        <v>Wednesday</v>
      </c>
      <c r="D1035" s="5">
        <v>45497.892563576388</v>
      </c>
      <c r="E1035" s="6" t="str" cm="1">
        <f t="array" ref="E1035">_xlfn.IFS(HOUR(D1035)&gt;=20,"20-24 ",HOUR(D1035)&gt;=16,"16-20",HOUR(D1035)&gt;=12,"12-16",HOUR(D1035)&lt;12,"7-12")</f>
        <v xml:space="preserve">20-24 </v>
      </c>
      <c r="F1035" s="6" t="s">
        <v>3</v>
      </c>
      <c r="G1035" s="6" t="s">
        <v>23</v>
      </c>
      <c r="H1035" s="6">
        <v>23.02</v>
      </c>
      <c r="I1035" s="6" t="s">
        <v>11</v>
      </c>
    </row>
    <row r="1036" spans="1:9" x14ac:dyDescent="0.35">
      <c r="A1036" s="34">
        <v>45498</v>
      </c>
      <c r="B1036" s="34" t="str">
        <f t="shared" si="33"/>
        <v>July</v>
      </c>
      <c r="C1036" s="4" t="str">
        <f t="shared" si="32"/>
        <v>Thursday</v>
      </c>
      <c r="D1036" s="5">
        <v>45498.329721469905</v>
      </c>
      <c r="E1036" s="6" t="str" cm="1">
        <f t="array" ref="E1036">_xlfn.IFS(HOUR(D1036)&gt;=20,"20-24 ",HOUR(D1036)&gt;=16,"16-20",HOUR(D1036)&gt;=12,"12-16",HOUR(D1036)&lt;12,"7-12")</f>
        <v>7-12</v>
      </c>
      <c r="F1036" s="6" t="s">
        <v>3</v>
      </c>
      <c r="G1036" s="6" t="s">
        <v>23</v>
      </c>
      <c r="H1036" s="6">
        <v>23.02</v>
      </c>
      <c r="I1036" s="6" t="s">
        <v>11</v>
      </c>
    </row>
    <row r="1037" spans="1:9" x14ac:dyDescent="0.35">
      <c r="A1037" s="34">
        <v>45498</v>
      </c>
      <c r="B1037" s="34" t="str">
        <f t="shared" si="33"/>
        <v>July</v>
      </c>
      <c r="C1037" s="4" t="str">
        <f t="shared" si="32"/>
        <v>Thursday</v>
      </c>
      <c r="D1037" s="5">
        <v>45498.367574398151</v>
      </c>
      <c r="E1037" s="6" t="str" cm="1">
        <f t="array" ref="E1037">_xlfn.IFS(HOUR(D1037)&gt;=20,"20-24 ",HOUR(D1037)&gt;=16,"16-20",HOUR(D1037)&gt;=12,"12-16",HOUR(D1037)&lt;12,"7-12")</f>
        <v>7-12</v>
      </c>
      <c r="F1037" s="6" t="s">
        <v>3</v>
      </c>
      <c r="G1037" s="6" t="s">
        <v>413</v>
      </c>
      <c r="H1037" s="6">
        <v>32.82</v>
      </c>
      <c r="I1037" s="6" t="s">
        <v>7</v>
      </c>
    </row>
    <row r="1038" spans="1:9" x14ac:dyDescent="0.35">
      <c r="A1038" s="34">
        <v>45498</v>
      </c>
      <c r="B1038" s="34" t="str">
        <f t="shared" si="33"/>
        <v>July</v>
      </c>
      <c r="C1038" s="4" t="str">
        <f t="shared" si="32"/>
        <v>Thursday</v>
      </c>
      <c r="D1038" s="5">
        <v>45498.437322094906</v>
      </c>
      <c r="E1038" s="6" t="str" cm="1">
        <f t="array" ref="E1038">_xlfn.IFS(HOUR(D1038)&gt;=20,"20-24 ",HOUR(D1038)&gt;=16,"16-20",HOUR(D1038)&gt;=12,"12-16",HOUR(D1038)&lt;12,"7-12")</f>
        <v>7-12</v>
      </c>
      <c r="F1038" s="6" t="s">
        <v>3</v>
      </c>
      <c r="G1038" s="6" t="s">
        <v>399</v>
      </c>
      <c r="H1038" s="6">
        <v>27.92</v>
      </c>
      <c r="I1038" s="6" t="s">
        <v>14</v>
      </c>
    </row>
    <row r="1039" spans="1:9" x14ac:dyDescent="0.35">
      <c r="A1039" s="34">
        <v>45498</v>
      </c>
      <c r="B1039" s="34" t="str">
        <f t="shared" si="33"/>
        <v>July</v>
      </c>
      <c r="C1039" s="4" t="str">
        <f t="shared" si="32"/>
        <v>Thursday</v>
      </c>
      <c r="D1039" s="5">
        <v>45498.476443298612</v>
      </c>
      <c r="E1039" s="6" t="str" cm="1">
        <f t="array" ref="E1039">_xlfn.IFS(HOUR(D1039)&gt;=20,"20-24 ",HOUR(D1039)&gt;=16,"16-20",HOUR(D1039)&gt;=12,"12-16",HOUR(D1039)&lt;12,"7-12")</f>
        <v>7-12</v>
      </c>
      <c r="F1039" s="6" t="s">
        <v>3</v>
      </c>
      <c r="G1039" s="6" t="s">
        <v>389</v>
      </c>
      <c r="H1039" s="6">
        <v>23.02</v>
      </c>
      <c r="I1039" s="6" t="s">
        <v>11</v>
      </c>
    </row>
    <row r="1040" spans="1:9" x14ac:dyDescent="0.35">
      <c r="A1040" s="34">
        <v>45498</v>
      </c>
      <c r="B1040" s="34" t="str">
        <f t="shared" si="33"/>
        <v>July</v>
      </c>
      <c r="C1040" s="4" t="str">
        <f t="shared" si="32"/>
        <v>Thursday</v>
      </c>
      <c r="D1040" s="5">
        <v>45498.642436481481</v>
      </c>
      <c r="E1040" s="6" t="str" cm="1">
        <f t="array" ref="E1040">_xlfn.IFS(HOUR(D1040)&gt;=20,"20-24 ",HOUR(D1040)&gt;=16,"16-20",HOUR(D1040)&gt;=12,"12-16",HOUR(D1040)&lt;12,"7-12")</f>
        <v>12-16</v>
      </c>
      <c r="F1040" s="6" t="s">
        <v>3</v>
      </c>
      <c r="G1040" s="6" t="s">
        <v>417</v>
      </c>
      <c r="H1040" s="6">
        <v>32.82</v>
      </c>
      <c r="I1040" s="6" t="s">
        <v>43</v>
      </c>
    </row>
    <row r="1041" spans="1:9" x14ac:dyDescent="0.35">
      <c r="A1041" s="34">
        <v>45498</v>
      </c>
      <c r="B1041" s="34" t="str">
        <f t="shared" si="33"/>
        <v>July</v>
      </c>
      <c r="C1041" s="4" t="str">
        <f t="shared" si="32"/>
        <v>Thursday</v>
      </c>
      <c r="D1041" s="5">
        <v>45498.806258842589</v>
      </c>
      <c r="E1041" s="6" t="str" cm="1">
        <f t="array" ref="E1041">_xlfn.IFS(HOUR(D1041)&gt;=20,"20-24 ",HOUR(D1041)&gt;=16,"16-20",HOUR(D1041)&gt;=12,"12-16",HOUR(D1041)&lt;12,"7-12")</f>
        <v>16-20</v>
      </c>
      <c r="F1041" s="6" t="s">
        <v>3</v>
      </c>
      <c r="G1041" s="6" t="s">
        <v>271</v>
      </c>
      <c r="H1041" s="6">
        <v>32.82</v>
      </c>
      <c r="I1041" s="6" t="s">
        <v>43</v>
      </c>
    </row>
    <row r="1042" spans="1:9" x14ac:dyDescent="0.35">
      <c r="A1042" s="34">
        <v>45498</v>
      </c>
      <c r="B1042" s="34" t="str">
        <f t="shared" si="33"/>
        <v>July</v>
      </c>
      <c r="C1042" s="4" t="str">
        <f t="shared" si="32"/>
        <v>Thursday</v>
      </c>
      <c r="D1042" s="5">
        <v>45498.879181388889</v>
      </c>
      <c r="E1042" s="6" t="str" cm="1">
        <f t="array" ref="E1042">_xlfn.IFS(HOUR(D1042)&gt;=20,"20-24 ",HOUR(D1042)&gt;=16,"16-20",HOUR(D1042)&gt;=12,"12-16",HOUR(D1042)&lt;12,"7-12")</f>
        <v xml:space="preserve">20-24 </v>
      </c>
      <c r="F1042" s="6" t="s">
        <v>3</v>
      </c>
      <c r="G1042" s="6" t="s">
        <v>418</v>
      </c>
      <c r="H1042" s="6">
        <v>23.02</v>
      </c>
      <c r="I1042" s="6" t="s">
        <v>28</v>
      </c>
    </row>
    <row r="1043" spans="1:9" x14ac:dyDescent="0.35">
      <c r="A1043" s="34">
        <v>45498</v>
      </c>
      <c r="B1043" s="34" t="str">
        <f t="shared" si="33"/>
        <v>July</v>
      </c>
      <c r="C1043" s="4" t="str">
        <f t="shared" si="32"/>
        <v>Thursday</v>
      </c>
      <c r="D1043" s="5">
        <v>45498.879745393519</v>
      </c>
      <c r="E1043" s="6" t="str" cm="1">
        <f t="array" ref="E1043">_xlfn.IFS(HOUR(D1043)&gt;=20,"20-24 ",HOUR(D1043)&gt;=16,"16-20",HOUR(D1043)&gt;=12,"12-16",HOUR(D1043)&lt;12,"7-12")</f>
        <v xml:space="preserve">20-24 </v>
      </c>
      <c r="F1043" s="6" t="s">
        <v>3</v>
      </c>
      <c r="G1043" s="6" t="s">
        <v>418</v>
      </c>
      <c r="H1043" s="6">
        <v>18.12</v>
      </c>
      <c r="I1043" s="6" t="s">
        <v>35</v>
      </c>
    </row>
    <row r="1044" spans="1:9" x14ac:dyDescent="0.35">
      <c r="A1044" s="34">
        <v>45498</v>
      </c>
      <c r="B1044" s="34" t="str">
        <f t="shared" si="33"/>
        <v>July</v>
      </c>
      <c r="C1044" s="4" t="str">
        <f t="shared" si="32"/>
        <v>Thursday</v>
      </c>
      <c r="D1044" s="5">
        <v>45498.943649652778</v>
      </c>
      <c r="E1044" s="6" t="str" cm="1">
        <f t="array" ref="E1044">_xlfn.IFS(HOUR(D1044)&gt;=20,"20-24 ",HOUR(D1044)&gt;=16,"16-20",HOUR(D1044)&gt;=12,"12-16",HOUR(D1044)&lt;12,"7-12")</f>
        <v xml:space="preserve">20-24 </v>
      </c>
      <c r="F1044" s="6" t="s">
        <v>3</v>
      </c>
      <c r="G1044" s="6" t="s">
        <v>342</v>
      </c>
      <c r="H1044" s="6">
        <v>23.02</v>
      </c>
      <c r="I1044" s="6" t="s">
        <v>28</v>
      </c>
    </row>
    <row r="1045" spans="1:9" x14ac:dyDescent="0.35">
      <c r="A1045" s="34">
        <v>45498</v>
      </c>
      <c r="B1045" s="34" t="str">
        <f t="shared" si="33"/>
        <v>July</v>
      </c>
      <c r="C1045" s="4" t="str">
        <f t="shared" si="32"/>
        <v>Thursday</v>
      </c>
      <c r="D1045" s="5">
        <v>45498.944291550928</v>
      </c>
      <c r="E1045" s="6" t="str" cm="1">
        <f t="array" ref="E1045">_xlfn.IFS(HOUR(D1045)&gt;=20,"20-24 ",HOUR(D1045)&gt;=16,"16-20",HOUR(D1045)&gt;=12,"12-16",HOUR(D1045)&lt;12,"7-12")</f>
        <v xml:space="preserve">20-24 </v>
      </c>
      <c r="F1045" s="6" t="s">
        <v>3</v>
      </c>
      <c r="G1045" s="6" t="s">
        <v>419</v>
      </c>
      <c r="H1045" s="6">
        <v>32.82</v>
      </c>
      <c r="I1045" s="6" t="s">
        <v>18</v>
      </c>
    </row>
    <row r="1046" spans="1:9" x14ac:dyDescent="0.35">
      <c r="A1046" s="34">
        <v>45499</v>
      </c>
      <c r="B1046" s="34" t="str">
        <f t="shared" si="33"/>
        <v>July</v>
      </c>
      <c r="C1046" s="4" t="str">
        <f t="shared" si="32"/>
        <v>Friday</v>
      </c>
      <c r="D1046" s="5">
        <v>45499.356264733797</v>
      </c>
      <c r="E1046" s="6" t="str" cm="1">
        <f t="array" ref="E1046">_xlfn.IFS(HOUR(D1046)&gt;=20,"20-24 ",HOUR(D1046)&gt;=16,"16-20",HOUR(D1046)&gt;=12,"12-16",HOUR(D1046)&lt;12,"7-12")</f>
        <v>7-12</v>
      </c>
      <c r="F1046" s="6" t="s">
        <v>3</v>
      </c>
      <c r="G1046" s="6" t="s">
        <v>420</v>
      </c>
      <c r="H1046" s="6">
        <v>32.82</v>
      </c>
      <c r="I1046" s="6" t="s">
        <v>7</v>
      </c>
    </row>
    <row r="1047" spans="1:9" x14ac:dyDescent="0.35">
      <c r="A1047" s="34">
        <v>45499</v>
      </c>
      <c r="B1047" s="34" t="str">
        <f t="shared" si="33"/>
        <v>July</v>
      </c>
      <c r="C1047" s="4" t="str">
        <f t="shared" si="32"/>
        <v>Friday</v>
      </c>
      <c r="D1047" s="5">
        <v>45499.388627037035</v>
      </c>
      <c r="E1047" s="6" t="str" cm="1">
        <f t="array" ref="E1047">_xlfn.IFS(HOUR(D1047)&gt;=20,"20-24 ",HOUR(D1047)&gt;=16,"16-20",HOUR(D1047)&gt;=12,"12-16",HOUR(D1047)&lt;12,"7-12")</f>
        <v>7-12</v>
      </c>
      <c r="F1047" s="6" t="s">
        <v>3</v>
      </c>
      <c r="G1047" s="6" t="s">
        <v>111</v>
      </c>
      <c r="H1047" s="6">
        <v>27.92</v>
      </c>
      <c r="I1047" s="6" t="s">
        <v>14</v>
      </c>
    </row>
    <row r="1048" spans="1:9" x14ac:dyDescent="0.35">
      <c r="A1048" s="34">
        <v>45499</v>
      </c>
      <c r="B1048" s="34" t="str">
        <f t="shared" si="33"/>
        <v>July</v>
      </c>
      <c r="C1048" s="4" t="str">
        <f t="shared" si="32"/>
        <v>Friday</v>
      </c>
      <c r="D1048" s="5">
        <v>45499.38928638889</v>
      </c>
      <c r="E1048" s="6" t="str" cm="1">
        <f t="array" ref="E1048">_xlfn.IFS(HOUR(D1048)&gt;=20,"20-24 ",HOUR(D1048)&gt;=16,"16-20",HOUR(D1048)&gt;=12,"12-16",HOUR(D1048)&lt;12,"7-12")</f>
        <v>7-12</v>
      </c>
      <c r="F1048" s="6" t="s">
        <v>3</v>
      </c>
      <c r="G1048" s="6" t="s">
        <v>73</v>
      </c>
      <c r="H1048" s="6">
        <v>18.12</v>
      </c>
      <c r="I1048" s="6" t="s">
        <v>35</v>
      </c>
    </row>
    <row r="1049" spans="1:9" x14ac:dyDescent="0.35">
      <c r="A1049" s="34">
        <v>45499</v>
      </c>
      <c r="B1049" s="34" t="str">
        <f t="shared" si="33"/>
        <v>July</v>
      </c>
      <c r="C1049" s="4" t="str">
        <f t="shared" si="32"/>
        <v>Friday</v>
      </c>
      <c r="D1049" s="5">
        <v>45499.398049895834</v>
      </c>
      <c r="E1049" s="6" t="str" cm="1">
        <f t="array" ref="E1049">_xlfn.IFS(HOUR(D1049)&gt;=20,"20-24 ",HOUR(D1049)&gt;=16,"16-20",HOUR(D1049)&gt;=12,"12-16",HOUR(D1049)&lt;12,"7-12")</f>
        <v>7-12</v>
      </c>
      <c r="F1049" s="6" t="s">
        <v>3</v>
      </c>
      <c r="G1049" s="6" t="s">
        <v>421</v>
      </c>
      <c r="H1049" s="6">
        <v>23.02</v>
      </c>
      <c r="I1049" s="6" t="s">
        <v>28</v>
      </c>
    </row>
    <row r="1050" spans="1:9" x14ac:dyDescent="0.35">
      <c r="A1050" s="34">
        <v>45499</v>
      </c>
      <c r="B1050" s="34" t="str">
        <f t="shared" si="33"/>
        <v>July</v>
      </c>
      <c r="C1050" s="4" t="str">
        <f t="shared" si="32"/>
        <v>Friday</v>
      </c>
      <c r="D1050" s="5">
        <v>45499.398803622687</v>
      </c>
      <c r="E1050" s="6" t="str" cm="1">
        <f t="array" ref="E1050">_xlfn.IFS(HOUR(D1050)&gt;=20,"20-24 ",HOUR(D1050)&gt;=16,"16-20",HOUR(D1050)&gt;=12,"12-16",HOUR(D1050)&lt;12,"7-12")</f>
        <v>7-12</v>
      </c>
      <c r="F1050" s="6" t="s">
        <v>3</v>
      </c>
      <c r="G1050" s="6" t="s">
        <v>421</v>
      </c>
      <c r="H1050" s="6">
        <v>23.02</v>
      </c>
      <c r="I1050" s="6" t="s">
        <v>28</v>
      </c>
    </row>
    <row r="1051" spans="1:9" x14ac:dyDescent="0.35">
      <c r="A1051" s="34">
        <v>45499</v>
      </c>
      <c r="B1051" s="34" t="str">
        <f t="shared" si="33"/>
        <v>July</v>
      </c>
      <c r="C1051" s="4" t="str">
        <f t="shared" si="32"/>
        <v>Friday</v>
      </c>
      <c r="D1051" s="5">
        <v>45499.416063275465</v>
      </c>
      <c r="E1051" s="6" t="str" cm="1">
        <f t="array" ref="E1051">_xlfn.IFS(HOUR(D1051)&gt;=20,"20-24 ",HOUR(D1051)&gt;=16,"16-20",HOUR(D1051)&gt;=12,"12-16",HOUR(D1051)&lt;12,"7-12")</f>
        <v>7-12</v>
      </c>
      <c r="F1051" s="6" t="s">
        <v>3</v>
      </c>
      <c r="G1051" s="6" t="s">
        <v>422</v>
      </c>
      <c r="H1051" s="6">
        <v>32.82</v>
      </c>
      <c r="I1051" s="6" t="s">
        <v>7</v>
      </c>
    </row>
    <row r="1052" spans="1:9" x14ac:dyDescent="0.35">
      <c r="A1052" s="34">
        <v>45499</v>
      </c>
      <c r="B1052" s="34" t="str">
        <f t="shared" si="33"/>
        <v>July</v>
      </c>
      <c r="C1052" s="4" t="str">
        <f t="shared" si="32"/>
        <v>Friday</v>
      </c>
      <c r="D1052" s="5">
        <v>45499.416698136571</v>
      </c>
      <c r="E1052" s="6" t="str" cm="1">
        <f t="array" ref="E1052">_xlfn.IFS(HOUR(D1052)&gt;=20,"20-24 ",HOUR(D1052)&gt;=16,"16-20",HOUR(D1052)&gt;=12,"12-16",HOUR(D1052)&lt;12,"7-12")</f>
        <v>7-12</v>
      </c>
      <c r="F1052" s="6" t="s">
        <v>3</v>
      </c>
      <c r="G1052" s="6" t="s">
        <v>422</v>
      </c>
      <c r="H1052" s="6">
        <v>32.82</v>
      </c>
      <c r="I1052" s="6" t="s">
        <v>7</v>
      </c>
    </row>
    <row r="1053" spans="1:9" x14ac:dyDescent="0.35">
      <c r="A1053" s="34">
        <v>45499</v>
      </c>
      <c r="B1053" s="34" t="str">
        <f t="shared" si="33"/>
        <v>July</v>
      </c>
      <c r="C1053" s="4" t="str">
        <f t="shared" si="32"/>
        <v>Friday</v>
      </c>
      <c r="D1053" s="5">
        <v>45499.491132581017</v>
      </c>
      <c r="E1053" s="6" t="str" cm="1">
        <f t="array" ref="E1053">_xlfn.IFS(HOUR(D1053)&gt;=20,"20-24 ",HOUR(D1053)&gt;=16,"16-20",HOUR(D1053)&gt;=12,"12-16",HOUR(D1053)&lt;12,"7-12")</f>
        <v>7-12</v>
      </c>
      <c r="F1053" s="6" t="s">
        <v>3</v>
      </c>
      <c r="G1053" s="6" t="s">
        <v>399</v>
      </c>
      <c r="H1053" s="6">
        <v>27.92</v>
      </c>
      <c r="I1053" s="6" t="s">
        <v>14</v>
      </c>
    </row>
    <row r="1054" spans="1:9" x14ac:dyDescent="0.35">
      <c r="A1054" s="34">
        <v>45499</v>
      </c>
      <c r="B1054" s="34" t="str">
        <f t="shared" si="33"/>
        <v>July</v>
      </c>
      <c r="C1054" s="4" t="str">
        <f t="shared" si="32"/>
        <v>Friday</v>
      </c>
      <c r="D1054" s="5">
        <v>45499.504880439817</v>
      </c>
      <c r="E1054" s="6" t="str" cm="1">
        <f t="array" ref="E1054">_xlfn.IFS(HOUR(D1054)&gt;=20,"20-24 ",HOUR(D1054)&gt;=16,"16-20",HOUR(D1054)&gt;=12,"12-16",HOUR(D1054)&lt;12,"7-12")</f>
        <v>12-16</v>
      </c>
      <c r="F1054" s="6" t="s">
        <v>3</v>
      </c>
      <c r="G1054" s="6" t="s">
        <v>393</v>
      </c>
      <c r="H1054" s="6">
        <v>27.92</v>
      </c>
      <c r="I1054" s="6" t="s">
        <v>14</v>
      </c>
    </row>
    <row r="1055" spans="1:9" x14ac:dyDescent="0.35">
      <c r="A1055" s="34">
        <v>45499</v>
      </c>
      <c r="B1055" s="34" t="str">
        <f t="shared" si="33"/>
        <v>July</v>
      </c>
      <c r="C1055" s="4" t="str">
        <f t="shared" si="32"/>
        <v>Friday</v>
      </c>
      <c r="D1055" s="5">
        <v>45499.519537546294</v>
      </c>
      <c r="E1055" s="6" t="str" cm="1">
        <f t="array" ref="E1055">_xlfn.IFS(HOUR(D1055)&gt;=20,"20-24 ",HOUR(D1055)&gt;=16,"16-20",HOUR(D1055)&gt;=12,"12-16",HOUR(D1055)&lt;12,"7-12")</f>
        <v>12-16</v>
      </c>
      <c r="F1055" s="6" t="s">
        <v>3</v>
      </c>
      <c r="G1055" s="6" t="s">
        <v>353</v>
      </c>
      <c r="H1055" s="6">
        <v>32.82</v>
      </c>
      <c r="I1055" s="6" t="s">
        <v>43</v>
      </c>
    </row>
    <row r="1056" spans="1:9" x14ac:dyDescent="0.35">
      <c r="A1056" s="34">
        <v>45499</v>
      </c>
      <c r="B1056" s="34" t="str">
        <f t="shared" si="33"/>
        <v>July</v>
      </c>
      <c r="C1056" s="4" t="str">
        <f t="shared" si="32"/>
        <v>Friday</v>
      </c>
      <c r="D1056" s="5">
        <v>45499.520343842596</v>
      </c>
      <c r="E1056" s="6" t="str" cm="1">
        <f t="array" ref="E1056">_xlfn.IFS(HOUR(D1056)&gt;=20,"20-24 ",HOUR(D1056)&gt;=16,"16-20",HOUR(D1056)&gt;=12,"12-16",HOUR(D1056)&lt;12,"7-12")</f>
        <v>12-16</v>
      </c>
      <c r="F1056" s="6" t="s">
        <v>3</v>
      </c>
      <c r="G1056" s="6" t="s">
        <v>353</v>
      </c>
      <c r="H1056" s="6">
        <v>32.82</v>
      </c>
      <c r="I1056" s="6" t="s">
        <v>43</v>
      </c>
    </row>
    <row r="1057" spans="1:9" x14ac:dyDescent="0.35">
      <c r="A1057" s="34">
        <v>45499</v>
      </c>
      <c r="B1057" s="34" t="str">
        <f t="shared" si="33"/>
        <v>July</v>
      </c>
      <c r="C1057" s="4" t="str">
        <f t="shared" si="32"/>
        <v>Friday</v>
      </c>
      <c r="D1057" s="5">
        <v>45499.548566412035</v>
      </c>
      <c r="E1057" s="6" t="str" cm="1">
        <f t="array" ref="E1057">_xlfn.IFS(HOUR(D1057)&gt;=20,"20-24 ",HOUR(D1057)&gt;=16,"16-20",HOUR(D1057)&gt;=12,"12-16",HOUR(D1057)&lt;12,"7-12")</f>
        <v>12-16</v>
      </c>
      <c r="F1057" s="6" t="s">
        <v>3</v>
      </c>
      <c r="G1057" s="6" t="s">
        <v>423</v>
      </c>
      <c r="H1057" s="6">
        <v>32.82</v>
      </c>
      <c r="I1057" s="6" t="s">
        <v>7</v>
      </c>
    </row>
    <row r="1058" spans="1:9" x14ac:dyDescent="0.35">
      <c r="A1058" s="34">
        <v>45499</v>
      </c>
      <c r="B1058" s="34" t="str">
        <f t="shared" si="33"/>
        <v>July</v>
      </c>
      <c r="C1058" s="4" t="str">
        <f t="shared" si="32"/>
        <v>Friday</v>
      </c>
      <c r="D1058" s="5">
        <v>45499.724645219911</v>
      </c>
      <c r="E1058" s="6" t="str" cm="1">
        <f t="array" ref="E1058">_xlfn.IFS(HOUR(D1058)&gt;=20,"20-24 ",HOUR(D1058)&gt;=16,"16-20",HOUR(D1058)&gt;=12,"12-16",HOUR(D1058)&lt;12,"7-12")</f>
        <v>16-20</v>
      </c>
      <c r="F1058" s="6" t="s">
        <v>3</v>
      </c>
      <c r="G1058" s="6" t="s">
        <v>424</v>
      </c>
      <c r="H1058" s="6">
        <v>23.02</v>
      </c>
      <c r="I1058" s="6" t="s">
        <v>11</v>
      </c>
    </row>
    <row r="1059" spans="1:9" x14ac:dyDescent="0.35">
      <c r="A1059" s="34">
        <v>45499</v>
      </c>
      <c r="B1059" s="34" t="str">
        <f t="shared" si="33"/>
        <v>July</v>
      </c>
      <c r="C1059" s="4" t="str">
        <f t="shared" si="32"/>
        <v>Friday</v>
      </c>
      <c r="D1059" s="5">
        <v>45499.748949270834</v>
      </c>
      <c r="E1059" s="6" t="str" cm="1">
        <f t="array" ref="E1059">_xlfn.IFS(HOUR(D1059)&gt;=20,"20-24 ",HOUR(D1059)&gt;=16,"16-20",HOUR(D1059)&gt;=12,"12-16",HOUR(D1059)&lt;12,"7-12")</f>
        <v>16-20</v>
      </c>
      <c r="F1059" s="6" t="s">
        <v>3</v>
      </c>
      <c r="G1059" s="6" t="s">
        <v>425</v>
      </c>
      <c r="H1059" s="6">
        <v>32.82</v>
      </c>
      <c r="I1059" s="6" t="s">
        <v>43</v>
      </c>
    </row>
    <row r="1060" spans="1:9" x14ac:dyDescent="0.35">
      <c r="A1060" s="34">
        <v>45499</v>
      </c>
      <c r="B1060" s="34" t="str">
        <f t="shared" si="33"/>
        <v>July</v>
      </c>
      <c r="C1060" s="4" t="str">
        <f t="shared" si="32"/>
        <v>Friday</v>
      </c>
      <c r="D1060" s="5">
        <v>45499.885527916667</v>
      </c>
      <c r="E1060" s="6" t="str" cm="1">
        <f t="array" ref="E1060">_xlfn.IFS(HOUR(D1060)&gt;=20,"20-24 ",HOUR(D1060)&gt;=16,"16-20",HOUR(D1060)&gt;=12,"12-16",HOUR(D1060)&lt;12,"7-12")</f>
        <v xml:space="preserve">20-24 </v>
      </c>
      <c r="F1060" s="6" t="s">
        <v>3</v>
      </c>
      <c r="G1060" s="6" t="s">
        <v>19</v>
      </c>
      <c r="H1060" s="6">
        <v>32.82</v>
      </c>
      <c r="I1060" s="6" t="s">
        <v>7</v>
      </c>
    </row>
    <row r="1061" spans="1:9" x14ac:dyDescent="0.35">
      <c r="A1061" s="34">
        <v>45499</v>
      </c>
      <c r="B1061" s="34" t="str">
        <f t="shared" si="33"/>
        <v>July</v>
      </c>
      <c r="C1061" s="4" t="str">
        <f t="shared" si="32"/>
        <v>Friday</v>
      </c>
      <c r="D1061" s="5">
        <v>45499.951299976849</v>
      </c>
      <c r="E1061" s="6" t="str" cm="1">
        <f t="array" ref="E1061">_xlfn.IFS(HOUR(D1061)&gt;=20,"20-24 ",HOUR(D1061)&gt;=16,"16-20",HOUR(D1061)&gt;=12,"12-16",HOUR(D1061)&lt;12,"7-12")</f>
        <v xml:space="preserve">20-24 </v>
      </c>
      <c r="F1061" s="6" t="s">
        <v>3</v>
      </c>
      <c r="G1061" s="6" t="s">
        <v>426</v>
      </c>
      <c r="H1061" s="6">
        <v>27.92</v>
      </c>
      <c r="I1061" s="6" t="s">
        <v>14</v>
      </c>
    </row>
    <row r="1062" spans="1:9" x14ac:dyDescent="0.35">
      <c r="A1062" s="34">
        <v>45500</v>
      </c>
      <c r="B1062" s="34" t="str">
        <f t="shared" si="33"/>
        <v>July</v>
      </c>
      <c r="C1062" s="4" t="str">
        <f t="shared" si="32"/>
        <v>Saturday</v>
      </c>
      <c r="D1062" s="5">
        <v>45500.381440474535</v>
      </c>
      <c r="E1062" s="6" t="str" cm="1">
        <f t="array" ref="E1062">_xlfn.IFS(HOUR(D1062)&gt;=20,"20-24 ",HOUR(D1062)&gt;=16,"16-20",HOUR(D1062)&gt;=12,"12-16",HOUR(D1062)&lt;12,"7-12")</f>
        <v>7-12</v>
      </c>
      <c r="F1062" s="6" t="s">
        <v>3</v>
      </c>
      <c r="G1062" s="6" t="s">
        <v>111</v>
      </c>
      <c r="H1062" s="6">
        <v>32.82</v>
      </c>
      <c r="I1062" s="6" t="s">
        <v>43</v>
      </c>
    </row>
    <row r="1063" spans="1:9" x14ac:dyDescent="0.35">
      <c r="A1063" s="34">
        <v>45500</v>
      </c>
      <c r="B1063" s="34" t="str">
        <f t="shared" si="33"/>
        <v>July</v>
      </c>
      <c r="C1063" s="4" t="str">
        <f t="shared" si="32"/>
        <v>Saturday</v>
      </c>
      <c r="D1063" s="5">
        <v>45500.496890983799</v>
      </c>
      <c r="E1063" s="6" t="str" cm="1">
        <f t="array" ref="E1063">_xlfn.IFS(HOUR(D1063)&gt;=20,"20-24 ",HOUR(D1063)&gt;=16,"16-20",HOUR(D1063)&gt;=12,"12-16",HOUR(D1063)&lt;12,"7-12")</f>
        <v>7-12</v>
      </c>
      <c r="F1063" s="6" t="s">
        <v>3</v>
      </c>
      <c r="G1063" s="6" t="s">
        <v>427</v>
      </c>
      <c r="H1063" s="6">
        <v>27.92</v>
      </c>
      <c r="I1063" s="6" t="s">
        <v>14</v>
      </c>
    </row>
    <row r="1064" spans="1:9" x14ac:dyDescent="0.35">
      <c r="A1064" s="34">
        <v>45500</v>
      </c>
      <c r="B1064" s="34" t="str">
        <f t="shared" si="33"/>
        <v>July</v>
      </c>
      <c r="C1064" s="4" t="str">
        <f t="shared" si="32"/>
        <v>Saturday</v>
      </c>
      <c r="D1064" s="5">
        <v>45500.517478182868</v>
      </c>
      <c r="E1064" s="6" t="str" cm="1">
        <f t="array" ref="E1064">_xlfn.IFS(HOUR(D1064)&gt;=20,"20-24 ",HOUR(D1064)&gt;=16,"16-20",HOUR(D1064)&gt;=12,"12-16",HOUR(D1064)&lt;12,"7-12")</f>
        <v>12-16</v>
      </c>
      <c r="F1064" s="6" t="s">
        <v>3</v>
      </c>
      <c r="G1064" s="6" t="s">
        <v>73</v>
      </c>
      <c r="H1064" s="6">
        <v>27.92</v>
      </c>
      <c r="I1064" s="6" t="s">
        <v>14</v>
      </c>
    </row>
    <row r="1065" spans="1:9" x14ac:dyDescent="0.35">
      <c r="A1065" s="34">
        <v>45500</v>
      </c>
      <c r="B1065" s="34" t="str">
        <f t="shared" si="33"/>
        <v>July</v>
      </c>
      <c r="C1065" s="4" t="str">
        <f t="shared" si="32"/>
        <v>Saturday</v>
      </c>
      <c r="D1065" s="5">
        <v>45500.518207858797</v>
      </c>
      <c r="E1065" s="6" t="str" cm="1">
        <f t="array" ref="E1065">_xlfn.IFS(HOUR(D1065)&gt;=20,"20-24 ",HOUR(D1065)&gt;=16,"16-20",HOUR(D1065)&gt;=12,"12-16",HOUR(D1065)&lt;12,"7-12")</f>
        <v>12-16</v>
      </c>
      <c r="F1065" s="6" t="s">
        <v>3</v>
      </c>
      <c r="G1065" s="6" t="s">
        <v>54</v>
      </c>
      <c r="H1065" s="6">
        <v>18.12</v>
      </c>
      <c r="I1065" s="6" t="s">
        <v>35</v>
      </c>
    </row>
    <row r="1066" spans="1:9" x14ac:dyDescent="0.35">
      <c r="A1066" s="34">
        <v>45500</v>
      </c>
      <c r="B1066" s="34" t="str">
        <f t="shared" si="33"/>
        <v>July</v>
      </c>
      <c r="C1066" s="4" t="str">
        <f t="shared" si="32"/>
        <v>Saturday</v>
      </c>
      <c r="D1066" s="5">
        <v>45500.523183680554</v>
      </c>
      <c r="E1066" s="6" t="str" cm="1">
        <f t="array" ref="E1066">_xlfn.IFS(HOUR(D1066)&gt;=20,"20-24 ",HOUR(D1066)&gt;=16,"16-20",HOUR(D1066)&gt;=12,"12-16",HOUR(D1066)&lt;12,"7-12")</f>
        <v>12-16</v>
      </c>
      <c r="F1066" s="6" t="s">
        <v>3</v>
      </c>
      <c r="G1066" s="6" t="s">
        <v>73</v>
      </c>
      <c r="H1066" s="6">
        <v>27.92</v>
      </c>
      <c r="I1066" s="6" t="s">
        <v>14</v>
      </c>
    </row>
    <row r="1067" spans="1:9" x14ac:dyDescent="0.35">
      <c r="A1067" s="34">
        <v>45500</v>
      </c>
      <c r="B1067" s="34" t="str">
        <f t="shared" si="33"/>
        <v>July</v>
      </c>
      <c r="C1067" s="4" t="str">
        <f t="shared" si="32"/>
        <v>Saturday</v>
      </c>
      <c r="D1067" s="5">
        <v>45500.603262777775</v>
      </c>
      <c r="E1067" s="6" t="str" cm="1">
        <f t="array" ref="E1067">_xlfn.IFS(HOUR(D1067)&gt;=20,"20-24 ",HOUR(D1067)&gt;=16,"16-20",HOUR(D1067)&gt;=12,"12-16",HOUR(D1067)&lt;12,"7-12")</f>
        <v>12-16</v>
      </c>
      <c r="F1067" s="6" t="s">
        <v>3</v>
      </c>
      <c r="G1067" s="6" t="s">
        <v>239</v>
      </c>
      <c r="H1067" s="6">
        <v>18.12</v>
      </c>
      <c r="I1067" s="6" t="s">
        <v>35</v>
      </c>
    </row>
    <row r="1068" spans="1:9" x14ac:dyDescent="0.35">
      <c r="A1068" s="34">
        <v>45500</v>
      </c>
      <c r="B1068" s="34" t="str">
        <f t="shared" si="33"/>
        <v>July</v>
      </c>
      <c r="C1068" s="4" t="str">
        <f t="shared" si="32"/>
        <v>Saturday</v>
      </c>
      <c r="D1068" s="5">
        <v>45500.619365694445</v>
      </c>
      <c r="E1068" s="6" t="str" cm="1">
        <f t="array" ref="E1068">_xlfn.IFS(HOUR(D1068)&gt;=20,"20-24 ",HOUR(D1068)&gt;=16,"16-20",HOUR(D1068)&gt;=12,"12-16",HOUR(D1068)&lt;12,"7-12")</f>
        <v>12-16</v>
      </c>
      <c r="F1068" s="6" t="s">
        <v>3</v>
      </c>
      <c r="G1068" s="6" t="s">
        <v>91</v>
      </c>
      <c r="H1068" s="6">
        <v>32.82</v>
      </c>
      <c r="I1068" s="6" t="s">
        <v>7</v>
      </c>
    </row>
    <row r="1069" spans="1:9" x14ac:dyDescent="0.35">
      <c r="A1069" s="34">
        <v>45500</v>
      </c>
      <c r="B1069" s="34" t="str">
        <f t="shared" si="33"/>
        <v>July</v>
      </c>
      <c r="C1069" s="4" t="str">
        <f t="shared" si="32"/>
        <v>Saturday</v>
      </c>
      <c r="D1069" s="5">
        <v>45500.710108310188</v>
      </c>
      <c r="E1069" s="6" t="str" cm="1">
        <f t="array" ref="E1069">_xlfn.IFS(HOUR(D1069)&gt;=20,"20-24 ",HOUR(D1069)&gt;=16,"16-20",HOUR(D1069)&gt;=12,"12-16",HOUR(D1069)&lt;12,"7-12")</f>
        <v>16-20</v>
      </c>
      <c r="F1069" s="6" t="s">
        <v>3</v>
      </c>
      <c r="G1069" s="6" t="s">
        <v>428</v>
      </c>
      <c r="H1069" s="6">
        <v>32.82</v>
      </c>
      <c r="I1069" s="6" t="s">
        <v>43</v>
      </c>
    </row>
    <row r="1070" spans="1:9" x14ac:dyDescent="0.35">
      <c r="A1070" s="34">
        <v>45500</v>
      </c>
      <c r="B1070" s="34" t="str">
        <f t="shared" si="33"/>
        <v>July</v>
      </c>
      <c r="C1070" s="4" t="str">
        <f t="shared" si="32"/>
        <v>Saturday</v>
      </c>
      <c r="D1070" s="5">
        <v>45500.710869351853</v>
      </c>
      <c r="E1070" s="6" t="str" cm="1">
        <f t="array" ref="E1070">_xlfn.IFS(HOUR(D1070)&gt;=20,"20-24 ",HOUR(D1070)&gt;=16,"16-20",HOUR(D1070)&gt;=12,"12-16",HOUR(D1070)&lt;12,"7-12")</f>
        <v>16-20</v>
      </c>
      <c r="F1070" s="6" t="s">
        <v>3</v>
      </c>
      <c r="G1070" s="6" t="s">
        <v>429</v>
      </c>
      <c r="H1070" s="6">
        <v>32.82</v>
      </c>
      <c r="I1070" s="6" t="s">
        <v>43</v>
      </c>
    </row>
    <row r="1071" spans="1:9" x14ac:dyDescent="0.35">
      <c r="A1071" s="34">
        <v>45500</v>
      </c>
      <c r="B1071" s="34" t="str">
        <f t="shared" si="33"/>
        <v>July</v>
      </c>
      <c r="C1071" s="4" t="str">
        <f t="shared" si="32"/>
        <v>Saturday</v>
      </c>
      <c r="D1071" s="5">
        <v>45500.714588240742</v>
      </c>
      <c r="E1071" s="6" t="str" cm="1">
        <f t="array" ref="E1071">_xlfn.IFS(HOUR(D1071)&gt;=20,"20-24 ",HOUR(D1071)&gt;=16,"16-20",HOUR(D1071)&gt;=12,"12-16",HOUR(D1071)&lt;12,"7-12")</f>
        <v>16-20</v>
      </c>
      <c r="F1071" s="6" t="s">
        <v>3</v>
      </c>
      <c r="G1071" s="6" t="s">
        <v>430</v>
      </c>
      <c r="H1071" s="6">
        <v>27.92</v>
      </c>
      <c r="I1071" s="6" t="s">
        <v>14</v>
      </c>
    </row>
    <row r="1072" spans="1:9" x14ac:dyDescent="0.35">
      <c r="A1072" s="34">
        <v>45500</v>
      </c>
      <c r="B1072" s="34" t="str">
        <f t="shared" si="33"/>
        <v>July</v>
      </c>
      <c r="C1072" s="4" t="str">
        <f t="shared" si="32"/>
        <v>Saturday</v>
      </c>
      <c r="D1072" s="5">
        <v>45500.715371226848</v>
      </c>
      <c r="E1072" s="6" t="str" cm="1">
        <f t="array" ref="E1072">_xlfn.IFS(HOUR(D1072)&gt;=20,"20-24 ",HOUR(D1072)&gt;=16,"16-20",HOUR(D1072)&gt;=12,"12-16",HOUR(D1072)&lt;12,"7-12")</f>
        <v>16-20</v>
      </c>
      <c r="F1072" s="6" t="s">
        <v>3</v>
      </c>
      <c r="G1072" s="6" t="s">
        <v>430</v>
      </c>
      <c r="H1072" s="6">
        <v>27.92</v>
      </c>
      <c r="I1072" s="6" t="s">
        <v>14</v>
      </c>
    </row>
    <row r="1073" spans="1:9" x14ac:dyDescent="0.35">
      <c r="A1073" s="34">
        <v>45500</v>
      </c>
      <c r="B1073" s="34" t="str">
        <f t="shared" si="33"/>
        <v>July</v>
      </c>
      <c r="C1073" s="4" t="str">
        <f t="shared" si="32"/>
        <v>Saturday</v>
      </c>
      <c r="D1073" s="5">
        <v>45500.871761284725</v>
      </c>
      <c r="E1073" s="6" t="str" cm="1">
        <f t="array" ref="E1073">_xlfn.IFS(HOUR(D1073)&gt;=20,"20-24 ",HOUR(D1073)&gt;=16,"16-20",HOUR(D1073)&gt;=12,"12-16",HOUR(D1073)&lt;12,"7-12")</f>
        <v xml:space="preserve">20-24 </v>
      </c>
      <c r="F1073" s="6" t="s">
        <v>3</v>
      </c>
      <c r="G1073" s="6" t="s">
        <v>19</v>
      </c>
      <c r="H1073" s="6">
        <v>32.82</v>
      </c>
      <c r="I1073" s="6" t="s">
        <v>7</v>
      </c>
    </row>
    <row r="1074" spans="1:9" x14ac:dyDescent="0.35">
      <c r="A1074" s="34">
        <v>45500</v>
      </c>
      <c r="B1074" s="34" t="str">
        <f t="shared" si="33"/>
        <v>July</v>
      </c>
      <c r="C1074" s="4" t="str">
        <f t="shared" si="32"/>
        <v>Saturday</v>
      </c>
      <c r="D1074" s="5">
        <v>45500.955832349537</v>
      </c>
      <c r="E1074" s="6" t="str" cm="1">
        <f t="array" ref="E1074">_xlfn.IFS(HOUR(D1074)&gt;=20,"20-24 ",HOUR(D1074)&gt;=16,"16-20",HOUR(D1074)&gt;=12,"12-16",HOUR(D1074)&lt;12,"7-12")</f>
        <v xml:space="preserve">20-24 </v>
      </c>
      <c r="F1074" s="6" t="s">
        <v>3</v>
      </c>
      <c r="G1074" s="6" t="s">
        <v>431</v>
      </c>
      <c r="H1074" s="6">
        <v>32.82</v>
      </c>
      <c r="I1074" s="6" t="s">
        <v>43</v>
      </c>
    </row>
    <row r="1075" spans="1:9" x14ac:dyDescent="0.35">
      <c r="A1075" s="34">
        <v>45501</v>
      </c>
      <c r="B1075" s="34" t="str">
        <f t="shared" si="33"/>
        <v>July</v>
      </c>
      <c r="C1075" s="4" t="str">
        <f t="shared" si="32"/>
        <v>Sunday</v>
      </c>
      <c r="D1075" s="5">
        <v>45501.463494444448</v>
      </c>
      <c r="E1075" s="6" t="str" cm="1">
        <f t="array" ref="E1075">_xlfn.IFS(HOUR(D1075)&gt;=20,"20-24 ",HOUR(D1075)&gt;=16,"16-20",HOUR(D1075)&gt;=12,"12-16",HOUR(D1075)&lt;12,"7-12")</f>
        <v>7-12</v>
      </c>
      <c r="F1075" s="6" t="s">
        <v>3</v>
      </c>
      <c r="G1075" s="6" t="s">
        <v>23</v>
      </c>
      <c r="H1075" s="6">
        <v>18.12</v>
      </c>
      <c r="I1075" s="6" t="s">
        <v>35</v>
      </c>
    </row>
    <row r="1076" spans="1:9" x14ac:dyDescent="0.35">
      <c r="A1076" s="34">
        <v>45501</v>
      </c>
      <c r="B1076" s="34" t="str">
        <f t="shared" si="33"/>
        <v>July</v>
      </c>
      <c r="C1076" s="4" t="str">
        <f t="shared" si="32"/>
        <v>Sunday</v>
      </c>
      <c r="D1076" s="5">
        <v>45501.595766261577</v>
      </c>
      <c r="E1076" s="6" t="str" cm="1">
        <f t="array" ref="E1076">_xlfn.IFS(HOUR(D1076)&gt;=20,"20-24 ",HOUR(D1076)&gt;=16,"16-20",HOUR(D1076)&gt;=12,"12-16",HOUR(D1076)&lt;12,"7-12")</f>
        <v>12-16</v>
      </c>
      <c r="F1076" s="6" t="s">
        <v>3</v>
      </c>
      <c r="G1076" s="6" t="s">
        <v>290</v>
      </c>
      <c r="H1076" s="6">
        <v>27.92</v>
      </c>
      <c r="I1076" s="6" t="s">
        <v>14</v>
      </c>
    </row>
    <row r="1077" spans="1:9" x14ac:dyDescent="0.35">
      <c r="A1077" s="34">
        <v>45501</v>
      </c>
      <c r="B1077" s="34" t="str">
        <f t="shared" si="33"/>
        <v>July</v>
      </c>
      <c r="C1077" s="4" t="str">
        <f t="shared" si="32"/>
        <v>Sunday</v>
      </c>
      <c r="D1077" s="5">
        <v>45501.596437453707</v>
      </c>
      <c r="E1077" s="6" t="str" cm="1">
        <f t="array" ref="E1077">_xlfn.IFS(HOUR(D1077)&gt;=20,"20-24 ",HOUR(D1077)&gt;=16,"16-20",HOUR(D1077)&gt;=12,"12-16",HOUR(D1077)&lt;12,"7-12")</f>
        <v>12-16</v>
      </c>
      <c r="F1077" s="6" t="s">
        <v>3</v>
      </c>
      <c r="G1077" s="6" t="s">
        <v>290</v>
      </c>
      <c r="H1077" s="6">
        <v>32.82</v>
      </c>
      <c r="I1077" s="6" t="s">
        <v>7</v>
      </c>
    </row>
    <row r="1078" spans="1:9" x14ac:dyDescent="0.35">
      <c r="A1078" s="34">
        <v>45502</v>
      </c>
      <c r="B1078" s="34" t="str">
        <f t="shared" si="33"/>
        <v>July</v>
      </c>
      <c r="C1078" s="4" t="str">
        <f t="shared" si="32"/>
        <v>Monday</v>
      </c>
      <c r="D1078" s="5">
        <v>45502.341740810189</v>
      </c>
      <c r="E1078" s="6" t="str" cm="1">
        <f t="array" ref="E1078">_xlfn.IFS(HOUR(D1078)&gt;=20,"20-24 ",HOUR(D1078)&gt;=16,"16-20",HOUR(D1078)&gt;=12,"12-16",HOUR(D1078)&lt;12,"7-12")</f>
        <v>7-12</v>
      </c>
      <c r="F1078" s="6" t="s">
        <v>3</v>
      </c>
      <c r="G1078" s="6" t="s">
        <v>432</v>
      </c>
      <c r="H1078" s="6">
        <v>32.82</v>
      </c>
      <c r="I1078" s="6" t="s">
        <v>7</v>
      </c>
    </row>
    <row r="1079" spans="1:9" x14ac:dyDescent="0.35">
      <c r="A1079" s="34">
        <v>45502</v>
      </c>
      <c r="B1079" s="34" t="str">
        <f t="shared" si="33"/>
        <v>July</v>
      </c>
      <c r="C1079" s="4" t="str">
        <f t="shared" si="32"/>
        <v>Monday</v>
      </c>
      <c r="D1079" s="5">
        <v>45502.378333009263</v>
      </c>
      <c r="E1079" s="6" t="str" cm="1">
        <f t="array" ref="E1079">_xlfn.IFS(HOUR(D1079)&gt;=20,"20-24 ",HOUR(D1079)&gt;=16,"16-20",HOUR(D1079)&gt;=12,"12-16",HOUR(D1079)&lt;12,"7-12")</f>
        <v>7-12</v>
      </c>
      <c r="F1079" s="6" t="s">
        <v>3</v>
      </c>
      <c r="G1079" s="6" t="s">
        <v>23</v>
      </c>
      <c r="H1079" s="6">
        <v>23.02</v>
      </c>
      <c r="I1079" s="6" t="s">
        <v>11</v>
      </c>
    </row>
    <row r="1080" spans="1:9" x14ac:dyDescent="0.35">
      <c r="A1080" s="34">
        <v>45502</v>
      </c>
      <c r="B1080" s="34" t="str">
        <f t="shared" si="33"/>
        <v>July</v>
      </c>
      <c r="C1080" s="4" t="str">
        <f t="shared" si="32"/>
        <v>Monday</v>
      </c>
      <c r="D1080" s="5">
        <v>45502.385950868054</v>
      </c>
      <c r="E1080" s="6" t="str" cm="1">
        <f t="array" ref="E1080">_xlfn.IFS(HOUR(D1080)&gt;=20,"20-24 ",HOUR(D1080)&gt;=16,"16-20",HOUR(D1080)&gt;=12,"12-16",HOUR(D1080)&lt;12,"7-12")</f>
        <v>7-12</v>
      </c>
      <c r="F1080" s="6" t="s">
        <v>3</v>
      </c>
      <c r="G1080" s="6" t="s">
        <v>111</v>
      </c>
      <c r="H1080" s="6">
        <v>27.92</v>
      </c>
      <c r="I1080" s="6" t="s">
        <v>14</v>
      </c>
    </row>
    <row r="1081" spans="1:9" x14ac:dyDescent="0.35">
      <c r="A1081" s="34">
        <v>45502</v>
      </c>
      <c r="B1081" s="34" t="str">
        <f t="shared" si="33"/>
        <v>July</v>
      </c>
      <c r="C1081" s="4" t="str">
        <f t="shared" si="32"/>
        <v>Monday</v>
      </c>
      <c r="D1081" s="5">
        <v>45502.388704652774</v>
      </c>
      <c r="E1081" s="6" t="str" cm="1">
        <f t="array" ref="E1081">_xlfn.IFS(HOUR(D1081)&gt;=20,"20-24 ",HOUR(D1081)&gt;=16,"16-20",HOUR(D1081)&gt;=12,"12-16",HOUR(D1081)&lt;12,"7-12")</f>
        <v>7-12</v>
      </c>
      <c r="F1081" s="6" t="s">
        <v>3</v>
      </c>
      <c r="G1081" s="6" t="s">
        <v>10</v>
      </c>
      <c r="H1081" s="6">
        <v>23.02</v>
      </c>
      <c r="I1081" s="6" t="s">
        <v>11</v>
      </c>
    </row>
    <row r="1082" spans="1:9" x14ac:dyDescent="0.35">
      <c r="A1082" s="34">
        <v>45502</v>
      </c>
      <c r="B1082" s="34" t="str">
        <f t="shared" si="33"/>
        <v>July</v>
      </c>
      <c r="C1082" s="4" t="str">
        <f t="shared" si="32"/>
        <v>Monday</v>
      </c>
      <c r="D1082" s="5">
        <v>45502.410703090274</v>
      </c>
      <c r="E1082" s="6" t="str" cm="1">
        <f t="array" ref="E1082">_xlfn.IFS(HOUR(D1082)&gt;=20,"20-24 ",HOUR(D1082)&gt;=16,"16-20",HOUR(D1082)&gt;=12,"12-16",HOUR(D1082)&lt;12,"7-12")</f>
        <v>7-12</v>
      </c>
      <c r="F1082" s="6" t="s">
        <v>3</v>
      </c>
      <c r="G1082" s="6" t="s">
        <v>433</v>
      </c>
      <c r="H1082" s="6">
        <v>27.92</v>
      </c>
      <c r="I1082" s="6" t="s">
        <v>14</v>
      </c>
    </row>
    <row r="1083" spans="1:9" x14ac:dyDescent="0.35">
      <c r="A1083" s="34">
        <v>45502</v>
      </c>
      <c r="B1083" s="34" t="str">
        <f t="shared" si="33"/>
        <v>July</v>
      </c>
      <c r="C1083" s="4" t="str">
        <f t="shared" si="32"/>
        <v>Monday</v>
      </c>
      <c r="D1083" s="5">
        <v>45502.415620821761</v>
      </c>
      <c r="E1083" s="6" t="str" cm="1">
        <f t="array" ref="E1083">_xlfn.IFS(HOUR(D1083)&gt;=20,"20-24 ",HOUR(D1083)&gt;=16,"16-20",HOUR(D1083)&gt;=12,"12-16",HOUR(D1083)&lt;12,"7-12")</f>
        <v>7-12</v>
      </c>
      <c r="F1083" s="6" t="s">
        <v>3</v>
      </c>
      <c r="G1083" s="6" t="s">
        <v>434</v>
      </c>
      <c r="H1083" s="6">
        <v>32.82</v>
      </c>
      <c r="I1083" s="6" t="s">
        <v>43</v>
      </c>
    </row>
    <row r="1084" spans="1:9" x14ac:dyDescent="0.35">
      <c r="A1084" s="34">
        <v>45502</v>
      </c>
      <c r="B1084" s="34" t="str">
        <f t="shared" si="33"/>
        <v>July</v>
      </c>
      <c r="C1084" s="4" t="str">
        <f t="shared" si="32"/>
        <v>Monday</v>
      </c>
      <c r="D1084" s="5">
        <v>45502.447036585647</v>
      </c>
      <c r="E1084" s="6" t="str" cm="1">
        <f t="array" ref="E1084">_xlfn.IFS(HOUR(D1084)&gt;=20,"20-24 ",HOUR(D1084)&gt;=16,"16-20",HOUR(D1084)&gt;=12,"12-16",HOUR(D1084)&lt;12,"7-12")</f>
        <v>7-12</v>
      </c>
      <c r="F1084" s="6" t="s">
        <v>3</v>
      </c>
      <c r="G1084" s="6" t="s">
        <v>435</v>
      </c>
      <c r="H1084" s="6">
        <v>32.82</v>
      </c>
      <c r="I1084" s="6" t="s">
        <v>9</v>
      </c>
    </row>
    <row r="1085" spans="1:9" x14ac:dyDescent="0.35">
      <c r="A1085" s="34">
        <v>45502</v>
      </c>
      <c r="B1085" s="34" t="str">
        <f t="shared" si="33"/>
        <v>July</v>
      </c>
      <c r="C1085" s="4" t="str">
        <f t="shared" si="32"/>
        <v>Monday</v>
      </c>
      <c r="D1085" s="5">
        <v>45502.447868587966</v>
      </c>
      <c r="E1085" s="6" t="str" cm="1">
        <f t="array" ref="E1085">_xlfn.IFS(HOUR(D1085)&gt;=20,"20-24 ",HOUR(D1085)&gt;=16,"16-20",HOUR(D1085)&gt;=12,"12-16",HOUR(D1085)&lt;12,"7-12")</f>
        <v>7-12</v>
      </c>
      <c r="F1085" s="6" t="s">
        <v>3</v>
      </c>
      <c r="G1085" s="6" t="s">
        <v>435</v>
      </c>
      <c r="H1085" s="6">
        <v>32.82</v>
      </c>
      <c r="I1085" s="6" t="s">
        <v>9</v>
      </c>
    </row>
    <row r="1086" spans="1:9" x14ac:dyDescent="0.35">
      <c r="A1086" s="34">
        <v>45502</v>
      </c>
      <c r="B1086" s="34" t="str">
        <f t="shared" si="33"/>
        <v>July</v>
      </c>
      <c r="C1086" s="4" t="str">
        <f t="shared" si="32"/>
        <v>Monday</v>
      </c>
      <c r="D1086" s="5">
        <v>45502.79619364583</v>
      </c>
      <c r="E1086" s="6" t="str" cm="1">
        <f t="array" ref="E1086">_xlfn.IFS(HOUR(D1086)&gt;=20,"20-24 ",HOUR(D1086)&gt;=16,"16-20",HOUR(D1086)&gt;=12,"12-16",HOUR(D1086)&lt;12,"7-12")</f>
        <v>16-20</v>
      </c>
      <c r="F1086" s="6" t="s">
        <v>3</v>
      </c>
      <c r="G1086" s="6" t="s">
        <v>436</v>
      </c>
      <c r="H1086" s="6">
        <v>32.82</v>
      </c>
      <c r="I1086" s="6" t="s">
        <v>43</v>
      </c>
    </row>
    <row r="1087" spans="1:9" x14ac:dyDescent="0.35">
      <c r="A1087" s="34">
        <v>45502</v>
      </c>
      <c r="B1087" s="34" t="str">
        <f t="shared" si="33"/>
        <v>July</v>
      </c>
      <c r="C1087" s="4" t="str">
        <f t="shared" si="32"/>
        <v>Monday</v>
      </c>
      <c r="D1087" s="5">
        <v>45502.812688877311</v>
      </c>
      <c r="E1087" s="6" t="str" cm="1">
        <f t="array" ref="E1087">_xlfn.IFS(HOUR(D1087)&gt;=20,"20-24 ",HOUR(D1087)&gt;=16,"16-20",HOUR(D1087)&gt;=12,"12-16",HOUR(D1087)&lt;12,"7-12")</f>
        <v>16-20</v>
      </c>
      <c r="F1087" s="6" t="s">
        <v>3</v>
      </c>
      <c r="G1087" s="6" t="s">
        <v>113</v>
      </c>
      <c r="H1087" s="6">
        <v>23.02</v>
      </c>
      <c r="I1087" s="6" t="s">
        <v>11</v>
      </c>
    </row>
    <row r="1088" spans="1:9" x14ac:dyDescent="0.35">
      <c r="A1088" s="34">
        <v>45502</v>
      </c>
      <c r="B1088" s="34" t="str">
        <f t="shared" si="33"/>
        <v>July</v>
      </c>
      <c r="C1088" s="4" t="str">
        <f t="shared" si="32"/>
        <v>Monday</v>
      </c>
      <c r="D1088" s="5">
        <v>45502.914981701389</v>
      </c>
      <c r="E1088" s="6" t="str" cm="1">
        <f t="array" ref="E1088">_xlfn.IFS(HOUR(D1088)&gt;=20,"20-24 ",HOUR(D1088)&gt;=16,"16-20",HOUR(D1088)&gt;=12,"12-16",HOUR(D1088)&lt;12,"7-12")</f>
        <v xml:space="preserve">20-24 </v>
      </c>
      <c r="F1088" s="6" t="s">
        <v>3</v>
      </c>
      <c r="G1088" s="6" t="s">
        <v>342</v>
      </c>
      <c r="H1088" s="6">
        <v>32.82</v>
      </c>
      <c r="I1088" s="6" t="s">
        <v>18</v>
      </c>
    </row>
    <row r="1089" spans="1:9" x14ac:dyDescent="0.35">
      <c r="A1089" s="34">
        <v>45503</v>
      </c>
      <c r="B1089" s="34" t="str">
        <f t="shared" si="33"/>
        <v>July</v>
      </c>
      <c r="C1089" s="4" t="str">
        <f t="shared" si="32"/>
        <v>Tuesday</v>
      </c>
      <c r="D1089" s="5">
        <v>45503.320265567127</v>
      </c>
      <c r="E1089" s="6" t="str" cm="1">
        <f t="array" ref="E1089">_xlfn.IFS(HOUR(D1089)&gt;=20,"20-24 ",HOUR(D1089)&gt;=16,"16-20",HOUR(D1089)&gt;=12,"12-16",HOUR(D1089)&lt;12,"7-12")</f>
        <v>7-12</v>
      </c>
      <c r="F1089" s="6" t="s">
        <v>3</v>
      </c>
      <c r="G1089" s="6" t="s">
        <v>437</v>
      </c>
      <c r="H1089" s="6">
        <v>27.92</v>
      </c>
      <c r="I1089" s="6" t="s">
        <v>14</v>
      </c>
    </row>
    <row r="1090" spans="1:9" x14ac:dyDescent="0.35">
      <c r="A1090" s="34">
        <v>45503</v>
      </c>
      <c r="B1090" s="34" t="str">
        <f t="shared" si="33"/>
        <v>July</v>
      </c>
      <c r="C1090" s="4" t="str">
        <f t="shared" ref="C1090:C1134" si="34">TEXT(A1090,"ddddddddd")</f>
        <v>Tuesday</v>
      </c>
      <c r="D1090" s="5">
        <v>45503.336889074075</v>
      </c>
      <c r="E1090" s="6" t="str" cm="1">
        <f t="array" ref="E1090">_xlfn.IFS(HOUR(D1090)&gt;=20,"20-24 ",HOUR(D1090)&gt;=16,"16-20",HOUR(D1090)&gt;=12,"12-16",HOUR(D1090)&lt;12,"7-12")</f>
        <v>7-12</v>
      </c>
      <c r="F1090" s="6" t="s">
        <v>3</v>
      </c>
      <c r="G1090" s="6" t="s">
        <v>438</v>
      </c>
      <c r="H1090" s="6">
        <v>23.02</v>
      </c>
      <c r="I1090" s="6" t="s">
        <v>28</v>
      </c>
    </row>
    <row r="1091" spans="1:9" x14ac:dyDescent="0.35">
      <c r="A1091" s="34">
        <v>45503</v>
      </c>
      <c r="B1091" s="34" t="str">
        <f t="shared" ref="B1091:B1134" si="35">TEXT(A1091, "mmmm")</f>
        <v>July</v>
      </c>
      <c r="C1091" s="4" t="str">
        <f t="shared" si="34"/>
        <v>Tuesday</v>
      </c>
      <c r="D1091" s="5">
        <v>45503.347813831017</v>
      </c>
      <c r="E1091" s="6" t="str" cm="1">
        <f t="array" ref="E1091">_xlfn.IFS(HOUR(D1091)&gt;=20,"20-24 ",HOUR(D1091)&gt;=16,"16-20",HOUR(D1091)&gt;=12,"12-16",HOUR(D1091)&lt;12,"7-12")</f>
        <v>7-12</v>
      </c>
      <c r="F1091" s="6" t="s">
        <v>3</v>
      </c>
      <c r="G1091" s="6" t="s">
        <v>439</v>
      </c>
      <c r="H1091" s="6">
        <v>32.82</v>
      </c>
      <c r="I1091" s="6" t="s">
        <v>43</v>
      </c>
    </row>
    <row r="1092" spans="1:9" x14ac:dyDescent="0.35">
      <c r="A1092" s="34">
        <v>45503</v>
      </c>
      <c r="B1092" s="34" t="str">
        <f t="shared" si="35"/>
        <v>July</v>
      </c>
      <c r="C1092" s="4" t="str">
        <f t="shared" si="34"/>
        <v>Tuesday</v>
      </c>
      <c r="D1092" s="5">
        <v>45503.384527974536</v>
      </c>
      <c r="E1092" s="6" t="str" cm="1">
        <f t="array" ref="E1092">_xlfn.IFS(HOUR(D1092)&gt;=20,"20-24 ",HOUR(D1092)&gt;=16,"16-20",HOUR(D1092)&gt;=12,"12-16",HOUR(D1092)&lt;12,"7-12")</f>
        <v>7-12</v>
      </c>
      <c r="F1092" s="6" t="s">
        <v>3</v>
      </c>
      <c r="G1092" s="6" t="s">
        <v>111</v>
      </c>
      <c r="H1092" s="6">
        <v>27.92</v>
      </c>
      <c r="I1092" s="6" t="s">
        <v>14</v>
      </c>
    </row>
    <row r="1093" spans="1:9" x14ac:dyDescent="0.35">
      <c r="A1093" s="34">
        <v>45503</v>
      </c>
      <c r="B1093" s="34" t="str">
        <f t="shared" si="35"/>
        <v>July</v>
      </c>
      <c r="C1093" s="4" t="str">
        <f t="shared" si="34"/>
        <v>Tuesday</v>
      </c>
      <c r="D1093" s="5">
        <v>45503.428601238425</v>
      </c>
      <c r="E1093" s="6" t="str" cm="1">
        <f t="array" ref="E1093">_xlfn.IFS(HOUR(D1093)&gt;=20,"20-24 ",HOUR(D1093)&gt;=16,"16-20",HOUR(D1093)&gt;=12,"12-16",HOUR(D1093)&lt;12,"7-12")</f>
        <v>7-12</v>
      </c>
      <c r="F1093" s="6" t="s">
        <v>3</v>
      </c>
      <c r="G1093" s="6" t="s">
        <v>155</v>
      </c>
      <c r="H1093" s="6">
        <v>23.02</v>
      </c>
      <c r="I1093" s="6" t="s">
        <v>28</v>
      </c>
    </row>
    <row r="1094" spans="1:9" x14ac:dyDescent="0.35">
      <c r="A1094" s="34">
        <v>45503</v>
      </c>
      <c r="B1094" s="34" t="str">
        <f t="shared" si="35"/>
        <v>July</v>
      </c>
      <c r="C1094" s="4" t="str">
        <f t="shared" si="34"/>
        <v>Tuesday</v>
      </c>
      <c r="D1094" s="5">
        <v>45503.430257094908</v>
      </c>
      <c r="E1094" s="6" t="str" cm="1">
        <f t="array" ref="E1094">_xlfn.IFS(HOUR(D1094)&gt;=20,"20-24 ",HOUR(D1094)&gt;=16,"16-20",HOUR(D1094)&gt;=12,"12-16",HOUR(D1094)&lt;12,"7-12")</f>
        <v>7-12</v>
      </c>
      <c r="F1094" s="6" t="s">
        <v>3</v>
      </c>
      <c r="G1094" s="6" t="s">
        <v>290</v>
      </c>
      <c r="H1094" s="6">
        <v>27.92</v>
      </c>
      <c r="I1094" s="6" t="s">
        <v>14</v>
      </c>
    </row>
    <row r="1095" spans="1:9" x14ac:dyDescent="0.35">
      <c r="A1095" s="34">
        <v>45503</v>
      </c>
      <c r="B1095" s="34" t="str">
        <f t="shared" si="35"/>
        <v>July</v>
      </c>
      <c r="C1095" s="4" t="str">
        <f t="shared" si="34"/>
        <v>Tuesday</v>
      </c>
      <c r="D1095" s="5">
        <v>45503.432871759258</v>
      </c>
      <c r="E1095" s="6" t="str" cm="1">
        <f t="array" ref="E1095">_xlfn.IFS(HOUR(D1095)&gt;=20,"20-24 ",HOUR(D1095)&gt;=16,"16-20",HOUR(D1095)&gt;=12,"12-16",HOUR(D1095)&lt;12,"7-12")</f>
        <v>7-12</v>
      </c>
      <c r="F1095" s="6" t="s">
        <v>3</v>
      </c>
      <c r="G1095" s="6" t="s">
        <v>264</v>
      </c>
      <c r="H1095" s="6">
        <v>32.82</v>
      </c>
      <c r="I1095" s="6" t="s">
        <v>7</v>
      </c>
    </row>
    <row r="1096" spans="1:9" x14ac:dyDescent="0.35">
      <c r="A1096" s="34">
        <v>45503</v>
      </c>
      <c r="B1096" s="34" t="str">
        <f t="shared" si="35"/>
        <v>July</v>
      </c>
      <c r="C1096" s="4" t="str">
        <f t="shared" si="34"/>
        <v>Tuesday</v>
      </c>
      <c r="D1096" s="5">
        <v>45503.466751840278</v>
      </c>
      <c r="E1096" s="6" t="str" cm="1">
        <f t="array" ref="E1096">_xlfn.IFS(HOUR(D1096)&gt;=20,"20-24 ",HOUR(D1096)&gt;=16,"16-20",HOUR(D1096)&gt;=12,"12-16",HOUR(D1096)&lt;12,"7-12")</f>
        <v>7-12</v>
      </c>
      <c r="F1096" s="6" t="s">
        <v>3</v>
      </c>
      <c r="G1096" s="6" t="s">
        <v>440</v>
      </c>
      <c r="H1096" s="6">
        <v>23.02</v>
      </c>
      <c r="I1096" s="6" t="s">
        <v>11</v>
      </c>
    </row>
    <row r="1097" spans="1:9" x14ac:dyDescent="0.35">
      <c r="A1097" s="34">
        <v>45503</v>
      </c>
      <c r="B1097" s="34" t="str">
        <f t="shared" si="35"/>
        <v>July</v>
      </c>
      <c r="C1097" s="4" t="str">
        <f t="shared" si="34"/>
        <v>Tuesday</v>
      </c>
      <c r="D1097" s="5">
        <v>45503.467548819448</v>
      </c>
      <c r="E1097" s="6" t="str" cm="1">
        <f t="array" ref="E1097">_xlfn.IFS(HOUR(D1097)&gt;=20,"20-24 ",HOUR(D1097)&gt;=16,"16-20",HOUR(D1097)&gt;=12,"12-16",HOUR(D1097)&lt;12,"7-12")</f>
        <v>7-12</v>
      </c>
      <c r="F1097" s="6" t="s">
        <v>3</v>
      </c>
      <c r="G1097" s="6" t="s">
        <v>440</v>
      </c>
      <c r="H1097" s="6">
        <v>18.12</v>
      </c>
      <c r="I1097" s="6" t="s">
        <v>35</v>
      </c>
    </row>
    <row r="1098" spans="1:9" x14ac:dyDescent="0.35">
      <c r="A1098" s="34">
        <v>45503</v>
      </c>
      <c r="B1098" s="34" t="str">
        <f t="shared" si="35"/>
        <v>July</v>
      </c>
      <c r="C1098" s="4" t="str">
        <f t="shared" si="34"/>
        <v>Tuesday</v>
      </c>
      <c r="D1098" s="5">
        <v>45503.468537939814</v>
      </c>
      <c r="E1098" s="6" t="str" cm="1">
        <f t="array" ref="E1098">_xlfn.IFS(HOUR(D1098)&gt;=20,"20-24 ",HOUR(D1098)&gt;=16,"16-20",HOUR(D1098)&gt;=12,"12-16",HOUR(D1098)&lt;12,"7-12")</f>
        <v>7-12</v>
      </c>
      <c r="F1098" s="6" t="s">
        <v>3</v>
      </c>
      <c r="G1098" s="6" t="s">
        <v>441</v>
      </c>
      <c r="H1098" s="6">
        <v>27.92</v>
      </c>
      <c r="I1098" s="6" t="s">
        <v>14</v>
      </c>
    </row>
    <row r="1099" spans="1:9" x14ac:dyDescent="0.35">
      <c r="A1099" s="34">
        <v>45503</v>
      </c>
      <c r="B1099" s="34" t="str">
        <f t="shared" si="35"/>
        <v>July</v>
      </c>
      <c r="C1099" s="4" t="str">
        <f t="shared" si="34"/>
        <v>Tuesday</v>
      </c>
      <c r="D1099" s="5">
        <v>45503.469463310183</v>
      </c>
      <c r="E1099" s="6" t="str" cm="1">
        <f t="array" ref="E1099">_xlfn.IFS(HOUR(D1099)&gt;=20,"20-24 ",HOUR(D1099)&gt;=16,"16-20",HOUR(D1099)&gt;=12,"12-16",HOUR(D1099)&lt;12,"7-12")</f>
        <v>7-12</v>
      </c>
      <c r="F1099" s="6" t="s">
        <v>3</v>
      </c>
      <c r="G1099" s="6" t="s">
        <v>442</v>
      </c>
      <c r="H1099" s="6">
        <v>27.92</v>
      </c>
      <c r="I1099" s="6" t="s">
        <v>14</v>
      </c>
    </row>
    <row r="1100" spans="1:9" x14ac:dyDescent="0.35">
      <c r="A1100" s="34">
        <v>45503</v>
      </c>
      <c r="B1100" s="34" t="str">
        <f t="shared" si="35"/>
        <v>July</v>
      </c>
      <c r="C1100" s="4" t="str">
        <f t="shared" si="34"/>
        <v>Tuesday</v>
      </c>
      <c r="D1100" s="5">
        <v>45503.47956871528</v>
      </c>
      <c r="E1100" s="6" t="str" cm="1">
        <f t="array" ref="E1100">_xlfn.IFS(HOUR(D1100)&gt;=20,"20-24 ",HOUR(D1100)&gt;=16,"16-20",HOUR(D1100)&gt;=12,"12-16",HOUR(D1100)&lt;12,"7-12")</f>
        <v>7-12</v>
      </c>
      <c r="F1100" s="6" t="s">
        <v>3</v>
      </c>
      <c r="G1100" s="6" t="s">
        <v>443</v>
      </c>
      <c r="H1100" s="6">
        <v>27.92</v>
      </c>
      <c r="I1100" s="6" t="s">
        <v>14</v>
      </c>
    </row>
    <row r="1101" spans="1:9" x14ac:dyDescent="0.35">
      <c r="A1101" s="34">
        <v>45503</v>
      </c>
      <c r="B1101" s="34" t="str">
        <f t="shared" si="35"/>
        <v>July</v>
      </c>
      <c r="C1101" s="4" t="str">
        <f t="shared" si="34"/>
        <v>Tuesday</v>
      </c>
      <c r="D1101" s="5">
        <v>45503.480333437503</v>
      </c>
      <c r="E1101" s="6" t="str" cm="1">
        <f t="array" ref="E1101">_xlfn.IFS(HOUR(D1101)&gt;=20,"20-24 ",HOUR(D1101)&gt;=16,"16-20",HOUR(D1101)&gt;=12,"12-16",HOUR(D1101)&lt;12,"7-12")</f>
        <v>7-12</v>
      </c>
      <c r="F1101" s="6" t="s">
        <v>3</v>
      </c>
      <c r="G1101" s="6" t="s">
        <v>444</v>
      </c>
      <c r="H1101" s="6">
        <v>27.92</v>
      </c>
      <c r="I1101" s="6" t="s">
        <v>14</v>
      </c>
    </row>
    <row r="1102" spans="1:9" x14ac:dyDescent="0.35">
      <c r="A1102" s="34">
        <v>45503</v>
      </c>
      <c r="B1102" s="34" t="str">
        <f t="shared" si="35"/>
        <v>July</v>
      </c>
      <c r="C1102" s="4" t="str">
        <f t="shared" si="34"/>
        <v>Tuesday</v>
      </c>
      <c r="D1102" s="5">
        <v>45503.505642453703</v>
      </c>
      <c r="E1102" s="6" t="str" cm="1">
        <f t="array" ref="E1102">_xlfn.IFS(HOUR(D1102)&gt;=20,"20-24 ",HOUR(D1102)&gt;=16,"16-20",HOUR(D1102)&gt;=12,"12-16",HOUR(D1102)&lt;12,"7-12")</f>
        <v>12-16</v>
      </c>
      <c r="F1102" s="6" t="s">
        <v>3</v>
      </c>
      <c r="G1102" s="6" t="s">
        <v>445</v>
      </c>
      <c r="H1102" s="6">
        <v>32.82</v>
      </c>
      <c r="I1102" s="6" t="s">
        <v>7</v>
      </c>
    </row>
    <row r="1103" spans="1:9" x14ac:dyDescent="0.35">
      <c r="A1103" s="34">
        <v>45503</v>
      </c>
      <c r="B1103" s="34" t="str">
        <f t="shared" si="35"/>
        <v>July</v>
      </c>
      <c r="C1103" s="4" t="str">
        <f t="shared" si="34"/>
        <v>Tuesday</v>
      </c>
      <c r="D1103" s="5">
        <v>45503.636222546294</v>
      </c>
      <c r="E1103" s="6" t="str" cm="1">
        <f t="array" ref="E1103">_xlfn.IFS(HOUR(D1103)&gt;=20,"20-24 ",HOUR(D1103)&gt;=16,"16-20",HOUR(D1103)&gt;=12,"12-16",HOUR(D1103)&lt;12,"7-12")</f>
        <v>12-16</v>
      </c>
      <c r="F1103" s="6" t="s">
        <v>3</v>
      </c>
      <c r="G1103" s="6" t="s">
        <v>446</v>
      </c>
      <c r="H1103" s="6">
        <v>27.92</v>
      </c>
      <c r="I1103" s="6" t="s">
        <v>14</v>
      </c>
    </row>
    <row r="1104" spans="1:9" x14ac:dyDescent="0.35">
      <c r="A1104" s="34">
        <v>45503</v>
      </c>
      <c r="B1104" s="34" t="str">
        <f t="shared" si="35"/>
        <v>July</v>
      </c>
      <c r="C1104" s="4" t="str">
        <f t="shared" si="34"/>
        <v>Tuesday</v>
      </c>
      <c r="D1104" s="5">
        <v>45503.672834212965</v>
      </c>
      <c r="E1104" s="6" t="str" cm="1">
        <f t="array" ref="E1104">_xlfn.IFS(HOUR(D1104)&gt;=20,"20-24 ",HOUR(D1104)&gt;=16,"16-20",HOUR(D1104)&gt;=12,"12-16",HOUR(D1104)&lt;12,"7-12")</f>
        <v>16-20</v>
      </c>
      <c r="F1104" s="6" t="s">
        <v>3</v>
      </c>
      <c r="G1104" s="6" t="s">
        <v>447</v>
      </c>
      <c r="H1104" s="6">
        <v>23.02</v>
      </c>
      <c r="I1104" s="6" t="s">
        <v>28</v>
      </c>
    </row>
    <row r="1105" spans="1:9" x14ac:dyDescent="0.35">
      <c r="A1105" s="34">
        <v>45503</v>
      </c>
      <c r="B1105" s="34" t="str">
        <f t="shared" si="35"/>
        <v>July</v>
      </c>
      <c r="C1105" s="4" t="str">
        <f t="shared" si="34"/>
        <v>Tuesday</v>
      </c>
      <c r="D1105" s="5">
        <v>45503.673421608793</v>
      </c>
      <c r="E1105" s="6" t="str" cm="1">
        <f t="array" ref="E1105">_xlfn.IFS(HOUR(D1105)&gt;=20,"20-24 ",HOUR(D1105)&gt;=16,"16-20",HOUR(D1105)&gt;=12,"12-16",HOUR(D1105)&lt;12,"7-12")</f>
        <v>16-20</v>
      </c>
      <c r="F1105" s="6" t="s">
        <v>3</v>
      </c>
      <c r="G1105" s="6" t="s">
        <v>447</v>
      </c>
      <c r="H1105" s="6">
        <v>27.92</v>
      </c>
      <c r="I1105" s="6" t="s">
        <v>14</v>
      </c>
    </row>
    <row r="1106" spans="1:9" x14ac:dyDescent="0.35">
      <c r="A1106" s="34">
        <v>45503</v>
      </c>
      <c r="B1106" s="34" t="str">
        <f t="shared" si="35"/>
        <v>July</v>
      </c>
      <c r="C1106" s="4" t="str">
        <f t="shared" si="34"/>
        <v>Tuesday</v>
      </c>
      <c r="D1106" s="5">
        <v>45503.850230023148</v>
      </c>
      <c r="E1106" s="6" t="str" cm="1">
        <f t="array" ref="E1106">_xlfn.IFS(HOUR(D1106)&gt;=20,"20-24 ",HOUR(D1106)&gt;=16,"16-20",HOUR(D1106)&gt;=12,"12-16",HOUR(D1106)&lt;12,"7-12")</f>
        <v xml:space="preserve">20-24 </v>
      </c>
      <c r="F1106" s="6" t="s">
        <v>3</v>
      </c>
      <c r="G1106" s="6" t="s">
        <v>448</v>
      </c>
      <c r="H1106" s="6">
        <v>18.12</v>
      </c>
      <c r="I1106" s="6" t="s">
        <v>35</v>
      </c>
    </row>
    <row r="1107" spans="1:9" x14ac:dyDescent="0.35">
      <c r="A1107" s="34">
        <v>45503</v>
      </c>
      <c r="B1107" s="34" t="str">
        <f t="shared" si="35"/>
        <v>July</v>
      </c>
      <c r="C1107" s="4" t="str">
        <f t="shared" si="34"/>
        <v>Tuesday</v>
      </c>
      <c r="D1107" s="5">
        <v>45503.870739189813</v>
      </c>
      <c r="E1107" s="6" t="str" cm="1">
        <f t="array" ref="E1107">_xlfn.IFS(HOUR(D1107)&gt;=20,"20-24 ",HOUR(D1107)&gt;=16,"16-20",HOUR(D1107)&gt;=12,"12-16",HOUR(D1107)&lt;12,"7-12")</f>
        <v xml:space="preserve">20-24 </v>
      </c>
      <c r="F1107" s="6" t="s">
        <v>3</v>
      </c>
      <c r="G1107" s="6" t="s">
        <v>111</v>
      </c>
      <c r="H1107" s="6">
        <v>27.92</v>
      </c>
      <c r="I1107" s="6" t="s">
        <v>14</v>
      </c>
    </row>
    <row r="1108" spans="1:9" x14ac:dyDescent="0.35">
      <c r="A1108" s="34">
        <v>45503</v>
      </c>
      <c r="B1108" s="34" t="str">
        <f t="shared" si="35"/>
        <v>July</v>
      </c>
      <c r="C1108" s="4" t="str">
        <f t="shared" si="34"/>
        <v>Tuesday</v>
      </c>
      <c r="D1108" s="5">
        <v>45503.871369398148</v>
      </c>
      <c r="E1108" s="6" t="str" cm="1">
        <f t="array" ref="E1108">_xlfn.IFS(HOUR(D1108)&gt;=20,"20-24 ",HOUR(D1108)&gt;=16,"16-20",HOUR(D1108)&gt;=12,"12-16",HOUR(D1108)&lt;12,"7-12")</f>
        <v xml:space="preserve">20-24 </v>
      </c>
      <c r="F1108" s="6" t="s">
        <v>3</v>
      </c>
      <c r="G1108" s="6" t="s">
        <v>111</v>
      </c>
      <c r="H1108" s="6">
        <v>27.92</v>
      </c>
      <c r="I1108" s="6" t="s">
        <v>14</v>
      </c>
    </row>
    <row r="1109" spans="1:9" x14ac:dyDescent="0.35">
      <c r="A1109" s="34">
        <v>45503</v>
      </c>
      <c r="B1109" s="34" t="str">
        <f t="shared" si="35"/>
        <v>July</v>
      </c>
      <c r="C1109" s="4" t="str">
        <f t="shared" si="34"/>
        <v>Tuesday</v>
      </c>
      <c r="D1109" s="5">
        <v>45503.872943564813</v>
      </c>
      <c r="E1109" s="6" t="str" cm="1">
        <f t="array" ref="E1109">_xlfn.IFS(HOUR(D1109)&gt;=20,"20-24 ",HOUR(D1109)&gt;=16,"16-20",HOUR(D1109)&gt;=12,"12-16",HOUR(D1109)&lt;12,"7-12")</f>
        <v xml:space="preserve">20-24 </v>
      </c>
      <c r="F1109" s="6" t="s">
        <v>3</v>
      </c>
      <c r="G1109" s="6" t="s">
        <v>361</v>
      </c>
      <c r="H1109" s="6">
        <v>27.92</v>
      </c>
      <c r="I1109" s="6" t="s">
        <v>14</v>
      </c>
    </row>
    <row r="1110" spans="1:9" x14ac:dyDescent="0.35">
      <c r="A1110" s="34">
        <v>45503</v>
      </c>
      <c r="B1110" s="34" t="str">
        <f t="shared" si="35"/>
        <v>July</v>
      </c>
      <c r="C1110" s="4" t="str">
        <f t="shared" si="34"/>
        <v>Tuesday</v>
      </c>
      <c r="D1110" s="5">
        <v>45503.898138865741</v>
      </c>
      <c r="E1110" s="6" t="str" cm="1">
        <f t="array" ref="E1110">_xlfn.IFS(HOUR(D1110)&gt;=20,"20-24 ",HOUR(D1110)&gt;=16,"16-20",HOUR(D1110)&gt;=12,"12-16",HOUR(D1110)&lt;12,"7-12")</f>
        <v xml:space="preserve">20-24 </v>
      </c>
      <c r="F1110" s="6" t="s">
        <v>3</v>
      </c>
      <c r="G1110" s="6" t="s">
        <v>449</v>
      </c>
      <c r="H1110" s="6">
        <v>32.82</v>
      </c>
      <c r="I1110" s="6" t="s">
        <v>7</v>
      </c>
    </row>
    <row r="1111" spans="1:9" x14ac:dyDescent="0.35">
      <c r="A1111" s="34">
        <v>45503</v>
      </c>
      <c r="B1111" s="34" t="str">
        <f t="shared" si="35"/>
        <v>July</v>
      </c>
      <c r="C1111" s="4" t="str">
        <f t="shared" si="34"/>
        <v>Tuesday</v>
      </c>
      <c r="D1111" s="5">
        <v>45503.927331990744</v>
      </c>
      <c r="E1111" s="6" t="str" cm="1">
        <f t="array" ref="E1111">_xlfn.IFS(HOUR(D1111)&gt;=20,"20-24 ",HOUR(D1111)&gt;=16,"16-20",HOUR(D1111)&gt;=12,"12-16",HOUR(D1111)&lt;12,"7-12")</f>
        <v xml:space="preserve">20-24 </v>
      </c>
      <c r="F1111" s="6" t="s">
        <v>3</v>
      </c>
      <c r="G1111" s="6" t="s">
        <v>450</v>
      </c>
      <c r="H1111" s="6">
        <v>23.02</v>
      </c>
      <c r="I1111" s="6" t="s">
        <v>11</v>
      </c>
    </row>
    <row r="1112" spans="1:9" x14ac:dyDescent="0.35">
      <c r="A1112" s="34">
        <v>45503</v>
      </c>
      <c r="B1112" s="34" t="str">
        <f t="shared" si="35"/>
        <v>July</v>
      </c>
      <c r="C1112" s="4" t="str">
        <f t="shared" si="34"/>
        <v>Tuesday</v>
      </c>
      <c r="D1112" s="5">
        <v>45503.928000694446</v>
      </c>
      <c r="E1112" s="6" t="str" cm="1">
        <f t="array" ref="E1112">_xlfn.IFS(HOUR(D1112)&gt;=20,"20-24 ",HOUR(D1112)&gt;=16,"16-20",HOUR(D1112)&gt;=12,"12-16",HOUR(D1112)&lt;12,"7-12")</f>
        <v xml:space="preserve">20-24 </v>
      </c>
      <c r="F1112" s="6" t="s">
        <v>3</v>
      </c>
      <c r="G1112" s="6" t="s">
        <v>450</v>
      </c>
      <c r="H1112" s="6">
        <v>32.82</v>
      </c>
      <c r="I1112" s="6" t="s">
        <v>43</v>
      </c>
    </row>
    <row r="1113" spans="1:9" x14ac:dyDescent="0.35">
      <c r="A1113" s="34">
        <v>45504</v>
      </c>
      <c r="B1113" s="34" t="str">
        <f t="shared" si="35"/>
        <v>July</v>
      </c>
      <c r="C1113" s="4" t="str">
        <f t="shared" si="34"/>
        <v>Wednesday</v>
      </c>
      <c r="D1113" s="5">
        <v>45504.333241875</v>
      </c>
      <c r="E1113" s="6" t="str" cm="1">
        <f t="array" ref="E1113">_xlfn.IFS(HOUR(D1113)&gt;=20,"20-24 ",HOUR(D1113)&gt;=16,"16-20",HOUR(D1113)&gt;=12,"12-16",HOUR(D1113)&lt;12,"7-12")</f>
        <v>7-12</v>
      </c>
      <c r="F1113" s="6" t="s">
        <v>3</v>
      </c>
      <c r="G1113" s="6" t="s">
        <v>437</v>
      </c>
      <c r="H1113" s="6">
        <v>27.92</v>
      </c>
      <c r="I1113" s="6" t="s">
        <v>14</v>
      </c>
    </row>
    <row r="1114" spans="1:9" x14ac:dyDescent="0.35">
      <c r="A1114" s="34">
        <v>45504</v>
      </c>
      <c r="B1114" s="34" t="str">
        <f t="shared" si="35"/>
        <v>July</v>
      </c>
      <c r="C1114" s="4" t="str">
        <f t="shared" si="34"/>
        <v>Wednesday</v>
      </c>
      <c r="D1114" s="5">
        <v>45504.359513229167</v>
      </c>
      <c r="E1114" s="6" t="str" cm="1">
        <f t="array" ref="E1114">_xlfn.IFS(HOUR(D1114)&gt;=20,"20-24 ",HOUR(D1114)&gt;=16,"16-20",HOUR(D1114)&gt;=12,"12-16",HOUR(D1114)&lt;12,"7-12")</f>
        <v>7-12</v>
      </c>
      <c r="F1114" s="6" t="s">
        <v>3</v>
      </c>
      <c r="G1114" s="6" t="s">
        <v>451</v>
      </c>
      <c r="H1114" s="6">
        <v>27.92</v>
      </c>
      <c r="I1114" s="6" t="s">
        <v>14</v>
      </c>
    </row>
    <row r="1115" spans="1:9" x14ac:dyDescent="0.35">
      <c r="A1115" s="34">
        <v>45504</v>
      </c>
      <c r="B1115" s="34" t="str">
        <f t="shared" si="35"/>
        <v>July</v>
      </c>
      <c r="C1115" s="4" t="str">
        <f t="shared" si="34"/>
        <v>Wednesday</v>
      </c>
      <c r="D1115" s="5">
        <v>45504.360164768521</v>
      </c>
      <c r="E1115" s="6" t="str" cm="1">
        <f t="array" ref="E1115">_xlfn.IFS(HOUR(D1115)&gt;=20,"20-24 ",HOUR(D1115)&gt;=16,"16-20",HOUR(D1115)&gt;=12,"12-16",HOUR(D1115)&lt;12,"7-12")</f>
        <v>7-12</v>
      </c>
      <c r="F1115" s="6" t="s">
        <v>3</v>
      </c>
      <c r="G1115" s="6" t="s">
        <v>451</v>
      </c>
      <c r="H1115" s="6">
        <v>27.92</v>
      </c>
      <c r="I1115" s="6" t="s">
        <v>14</v>
      </c>
    </row>
    <row r="1116" spans="1:9" x14ac:dyDescent="0.35">
      <c r="A1116" s="34">
        <v>45504</v>
      </c>
      <c r="B1116" s="34" t="str">
        <f t="shared" si="35"/>
        <v>July</v>
      </c>
      <c r="C1116" s="4" t="str">
        <f t="shared" si="34"/>
        <v>Wednesday</v>
      </c>
      <c r="D1116" s="5">
        <v>45504.413024479167</v>
      </c>
      <c r="E1116" s="6" t="str" cm="1">
        <f t="array" ref="E1116">_xlfn.IFS(HOUR(D1116)&gt;=20,"20-24 ",HOUR(D1116)&gt;=16,"16-20",HOUR(D1116)&gt;=12,"12-16",HOUR(D1116)&lt;12,"7-12")</f>
        <v>7-12</v>
      </c>
      <c r="F1116" s="6" t="s">
        <v>3</v>
      </c>
      <c r="G1116" s="6" t="s">
        <v>402</v>
      </c>
      <c r="H1116" s="6">
        <v>23.02</v>
      </c>
      <c r="I1116" s="6" t="s">
        <v>11</v>
      </c>
    </row>
    <row r="1117" spans="1:9" x14ac:dyDescent="0.35">
      <c r="A1117" s="34">
        <v>45504</v>
      </c>
      <c r="B1117" s="34" t="str">
        <f t="shared" si="35"/>
        <v>July</v>
      </c>
      <c r="C1117" s="4" t="str">
        <f t="shared" si="34"/>
        <v>Wednesday</v>
      </c>
      <c r="D1117" s="5">
        <v>45504.413716921299</v>
      </c>
      <c r="E1117" s="6" t="str" cm="1">
        <f t="array" ref="E1117">_xlfn.IFS(HOUR(D1117)&gt;=20,"20-24 ",HOUR(D1117)&gt;=16,"16-20",HOUR(D1117)&gt;=12,"12-16",HOUR(D1117)&lt;12,"7-12")</f>
        <v>7-12</v>
      </c>
      <c r="F1117" s="6" t="s">
        <v>3</v>
      </c>
      <c r="G1117" s="6" t="s">
        <v>402</v>
      </c>
      <c r="H1117" s="6">
        <v>23.02</v>
      </c>
      <c r="I1117" s="6" t="s">
        <v>11</v>
      </c>
    </row>
    <row r="1118" spans="1:9" x14ac:dyDescent="0.35">
      <c r="A1118" s="34">
        <v>45504</v>
      </c>
      <c r="B1118" s="34" t="str">
        <f t="shared" si="35"/>
        <v>July</v>
      </c>
      <c r="C1118" s="4" t="str">
        <f t="shared" si="34"/>
        <v>Wednesday</v>
      </c>
      <c r="D1118" s="5">
        <v>45504.415461377313</v>
      </c>
      <c r="E1118" s="6" t="str" cm="1">
        <f t="array" ref="E1118">_xlfn.IFS(HOUR(D1118)&gt;=20,"20-24 ",HOUR(D1118)&gt;=16,"16-20",HOUR(D1118)&gt;=12,"12-16",HOUR(D1118)&lt;12,"7-12")</f>
        <v>7-12</v>
      </c>
      <c r="F1118" s="6" t="s">
        <v>3</v>
      </c>
      <c r="G1118" s="6" t="s">
        <v>290</v>
      </c>
      <c r="H1118" s="6">
        <v>27.92</v>
      </c>
      <c r="I1118" s="6" t="s">
        <v>14</v>
      </c>
    </row>
    <row r="1119" spans="1:9" x14ac:dyDescent="0.35">
      <c r="A1119" s="34">
        <v>45504</v>
      </c>
      <c r="B1119" s="34" t="str">
        <f t="shared" si="35"/>
        <v>July</v>
      </c>
      <c r="C1119" s="4" t="str">
        <f t="shared" si="34"/>
        <v>Wednesday</v>
      </c>
      <c r="D1119" s="5">
        <v>45504.549798715278</v>
      </c>
      <c r="E1119" s="6" t="str" cm="1">
        <f t="array" ref="E1119">_xlfn.IFS(HOUR(D1119)&gt;=20,"20-24 ",HOUR(D1119)&gt;=16,"16-20",HOUR(D1119)&gt;=12,"12-16",HOUR(D1119)&lt;12,"7-12")</f>
        <v>12-16</v>
      </c>
      <c r="F1119" s="6" t="s">
        <v>3</v>
      </c>
      <c r="G1119" s="6" t="s">
        <v>398</v>
      </c>
      <c r="H1119" s="6">
        <v>32.82</v>
      </c>
      <c r="I1119" s="6" t="s">
        <v>18</v>
      </c>
    </row>
    <row r="1120" spans="1:9" x14ac:dyDescent="0.35">
      <c r="A1120" s="34">
        <v>45504</v>
      </c>
      <c r="B1120" s="34" t="str">
        <f t="shared" si="35"/>
        <v>July</v>
      </c>
      <c r="C1120" s="4" t="str">
        <f t="shared" si="34"/>
        <v>Wednesday</v>
      </c>
      <c r="D1120" s="5">
        <v>45504.551392199071</v>
      </c>
      <c r="E1120" s="6" t="str" cm="1">
        <f t="array" ref="E1120">_xlfn.IFS(HOUR(D1120)&gt;=20,"20-24 ",HOUR(D1120)&gt;=16,"16-20",HOUR(D1120)&gt;=12,"12-16",HOUR(D1120)&lt;12,"7-12")</f>
        <v>12-16</v>
      </c>
      <c r="F1120" s="6" t="s">
        <v>3</v>
      </c>
      <c r="G1120" s="6" t="s">
        <v>398</v>
      </c>
      <c r="H1120" s="6">
        <v>32.82</v>
      </c>
      <c r="I1120" s="6" t="s">
        <v>7</v>
      </c>
    </row>
    <row r="1121" spans="1:9" x14ac:dyDescent="0.35">
      <c r="A1121" s="34">
        <v>45504</v>
      </c>
      <c r="B1121" s="34" t="str">
        <f t="shared" si="35"/>
        <v>July</v>
      </c>
      <c r="C1121" s="4" t="str">
        <f t="shared" si="34"/>
        <v>Wednesday</v>
      </c>
      <c r="D1121" s="5">
        <v>45504.558905520833</v>
      </c>
      <c r="E1121" s="6" t="str" cm="1">
        <f t="array" ref="E1121">_xlfn.IFS(HOUR(D1121)&gt;=20,"20-24 ",HOUR(D1121)&gt;=16,"16-20",HOUR(D1121)&gt;=12,"12-16",HOUR(D1121)&lt;12,"7-12")</f>
        <v>12-16</v>
      </c>
      <c r="F1121" s="6" t="s">
        <v>3</v>
      </c>
      <c r="G1121" s="6" t="s">
        <v>452</v>
      </c>
      <c r="H1121" s="6">
        <v>27.92</v>
      </c>
      <c r="I1121" s="6" t="s">
        <v>14</v>
      </c>
    </row>
    <row r="1122" spans="1:9" x14ac:dyDescent="0.35">
      <c r="A1122" s="34">
        <v>45504</v>
      </c>
      <c r="B1122" s="34" t="str">
        <f t="shared" si="35"/>
        <v>July</v>
      </c>
      <c r="C1122" s="4" t="str">
        <f t="shared" si="34"/>
        <v>Wednesday</v>
      </c>
      <c r="D1122" s="5">
        <v>45504.741745219908</v>
      </c>
      <c r="E1122" s="6" t="str" cm="1">
        <f t="array" ref="E1122">_xlfn.IFS(HOUR(D1122)&gt;=20,"20-24 ",HOUR(D1122)&gt;=16,"16-20",HOUR(D1122)&gt;=12,"12-16",HOUR(D1122)&lt;12,"7-12")</f>
        <v>16-20</v>
      </c>
      <c r="F1122" s="6" t="s">
        <v>3</v>
      </c>
      <c r="G1122" s="6" t="s">
        <v>453</v>
      </c>
      <c r="H1122" s="6">
        <v>23.02</v>
      </c>
      <c r="I1122" s="6" t="s">
        <v>28</v>
      </c>
    </row>
    <row r="1123" spans="1:9" x14ac:dyDescent="0.35">
      <c r="A1123" s="34">
        <v>45504</v>
      </c>
      <c r="B1123" s="34" t="str">
        <f t="shared" si="35"/>
        <v>July</v>
      </c>
      <c r="C1123" s="4" t="str">
        <f t="shared" si="34"/>
        <v>Wednesday</v>
      </c>
      <c r="D1123" s="5">
        <v>45504.752951064816</v>
      </c>
      <c r="E1123" s="6" t="str" cm="1">
        <f t="array" ref="E1123">_xlfn.IFS(HOUR(D1123)&gt;=20,"20-24 ",HOUR(D1123)&gt;=16,"16-20",HOUR(D1123)&gt;=12,"12-16",HOUR(D1123)&lt;12,"7-12")</f>
        <v>16-20</v>
      </c>
      <c r="F1123" s="6" t="s">
        <v>3</v>
      </c>
      <c r="G1123" s="6" t="s">
        <v>454</v>
      </c>
      <c r="H1123" s="6">
        <v>32.82</v>
      </c>
      <c r="I1123" s="6" t="s">
        <v>7</v>
      </c>
    </row>
    <row r="1124" spans="1:9" x14ac:dyDescent="0.35">
      <c r="A1124" s="34">
        <v>45504</v>
      </c>
      <c r="B1124" s="34" t="str">
        <f t="shared" si="35"/>
        <v>July</v>
      </c>
      <c r="C1124" s="4" t="str">
        <f t="shared" si="34"/>
        <v>Wednesday</v>
      </c>
      <c r="D1124" s="5">
        <v>45504.807394479169</v>
      </c>
      <c r="E1124" s="6" t="str" cm="1">
        <f t="array" ref="E1124">_xlfn.IFS(HOUR(D1124)&gt;=20,"20-24 ",HOUR(D1124)&gt;=16,"16-20",HOUR(D1124)&gt;=12,"12-16",HOUR(D1124)&lt;12,"7-12")</f>
        <v>16-20</v>
      </c>
      <c r="F1124" s="6" t="s">
        <v>3</v>
      </c>
      <c r="G1124" s="6" t="s">
        <v>455</v>
      </c>
      <c r="H1124" s="6">
        <v>23.02</v>
      </c>
      <c r="I1124" s="6" t="s">
        <v>28</v>
      </c>
    </row>
    <row r="1125" spans="1:9" x14ac:dyDescent="0.35">
      <c r="A1125" s="34">
        <v>45504</v>
      </c>
      <c r="B1125" s="34" t="str">
        <f t="shared" si="35"/>
        <v>July</v>
      </c>
      <c r="C1125" s="4" t="str">
        <f t="shared" si="34"/>
        <v>Wednesday</v>
      </c>
      <c r="D1125" s="5">
        <v>45504.811633576392</v>
      </c>
      <c r="E1125" s="6" t="str" cm="1">
        <f t="array" ref="E1125">_xlfn.IFS(HOUR(D1125)&gt;=20,"20-24 ",HOUR(D1125)&gt;=16,"16-20",HOUR(D1125)&gt;=12,"12-16",HOUR(D1125)&lt;12,"7-12")</f>
        <v>16-20</v>
      </c>
      <c r="F1125" s="6" t="s">
        <v>3</v>
      </c>
      <c r="G1125" s="6" t="s">
        <v>19</v>
      </c>
      <c r="H1125" s="6">
        <v>32.82</v>
      </c>
      <c r="I1125" s="6" t="s">
        <v>7</v>
      </c>
    </row>
    <row r="1126" spans="1:9" x14ac:dyDescent="0.35">
      <c r="A1126" s="34">
        <v>45504</v>
      </c>
      <c r="B1126" s="34" t="str">
        <f t="shared" si="35"/>
        <v>July</v>
      </c>
      <c r="C1126" s="4" t="str">
        <f t="shared" si="34"/>
        <v>Wednesday</v>
      </c>
      <c r="D1126" s="5">
        <v>45504.86576872685</v>
      </c>
      <c r="E1126" s="6" t="str" cm="1">
        <f t="array" ref="E1126">_xlfn.IFS(HOUR(D1126)&gt;=20,"20-24 ",HOUR(D1126)&gt;=16,"16-20",HOUR(D1126)&gt;=12,"12-16",HOUR(D1126)&lt;12,"7-12")</f>
        <v xml:space="preserve">20-24 </v>
      </c>
      <c r="F1126" s="6" t="s">
        <v>3</v>
      </c>
      <c r="G1126" s="6" t="s">
        <v>456</v>
      </c>
      <c r="H1126" s="6">
        <v>32.82</v>
      </c>
      <c r="I1126" s="6" t="s">
        <v>18</v>
      </c>
    </row>
    <row r="1127" spans="1:9" x14ac:dyDescent="0.35">
      <c r="A1127" s="34">
        <v>45504</v>
      </c>
      <c r="B1127" s="34" t="str">
        <f t="shared" si="35"/>
        <v>July</v>
      </c>
      <c r="C1127" s="4" t="str">
        <f t="shared" si="34"/>
        <v>Wednesday</v>
      </c>
      <c r="D1127" s="5">
        <v>45504.868141331019</v>
      </c>
      <c r="E1127" s="6" t="str" cm="1">
        <f t="array" ref="E1127">_xlfn.IFS(HOUR(D1127)&gt;=20,"20-24 ",HOUR(D1127)&gt;=16,"16-20",HOUR(D1127)&gt;=12,"12-16",HOUR(D1127)&lt;12,"7-12")</f>
        <v xml:space="preserve">20-24 </v>
      </c>
      <c r="F1127" s="6" t="s">
        <v>3</v>
      </c>
      <c r="G1127" s="6" t="s">
        <v>457</v>
      </c>
      <c r="H1127" s="6">
        <v>23.02</v>
      </c>
      <c r="I1127" s="6" t="s">
        <v>28</v>
      </c>
    </row>
    <row r="1128" spans="1:9" x14ac:dyDescent="0.35">
      <c r="A1128" s="34">
        <v>45504</v>
      </c>
      <c r="B1128" s="34" t="str">
        <f t="shared" si="35"/>
        <v>July</v>
      </c>
      <c r="C1128" s="4" t="str">
        <f t="shared" si="34"/>
        <v>Wednesday</v>
      </c>
      <c r="D1128" s="5">
        <v>45504.86887017361</v>
      </c>
      <c r="E1128" s="6" t="str" cm="1">
        <f t="array" ref="E1128">_xlfn.IFS(HOUR(D1128)&gt;=20,"20-24 ",HOUR(D1128)&gt;=16,"16-20",HOUR(D1128)&gt;=12,"12-16",HOUR(D1128)&lt;12,"7-12")</f>
        <v xml:space="preserve">20-24 </v>
      </c>
      <c r="F1128" s="6" t="s">
        <v>3</v>
      </c>
      <c r="G1128" s="6" t="s">
        <v>457</v>
      </c>
      <c r="H1128" s="6">
        <v>32.82</v>
      </c>
      <c r="I1128" s="6" t="s">
        <v>7</v>
      </c>
    </row>
    <row r="1129" spans="1:9" x14ac:dyDescent="0.35">
      <c r="A1129" s="34">
        <v>45504</v>
      </c>
      <c r="B1129" s="34" t="str">
        <f t="shared" si="35"/>
        <v>July</v>
      </c>
      <c r="C1129" s="4" t="str">
        <f t="shared" si="34"/>
        <v>Wednesday</v>
      </c>
      <c r="D1129" s="5">
        <v>45504.869615763891</v>
      </c>
      <c r="E1129" s="6" t="str" cm="1">
        <f t="array" ref="E1129">_xlfn.IFS(HOUR(D1129)&gt;=20,"20-24 ",HOUR(D1129)&gt;=16,"16-20",HOUR(D1129)&gt;=12,"12-16",HOUR(D1129)&lt;12,"7-12")</f>
        <v xml:space="preserve">20-24 </v>
      </c>
      <c r="F1129" s="6" t="s">
        <v>3</v>
      </c>
      <c r="G1129" s="6" t="s">
        <v>167</v>
      </c>
      <c r="H1129" s="6">
        <v>32.82</v>
      </c>
      <c r="I1129" s="6" t="s">
        <v>43</v>
      </c>
    </row>
    <row r="1130" spans="1:9" x14ac:dyDescent="0.35">
      <c r="A1130" s="34">
        <v>45504</v>
      </c>
      <c r="B1130" s="34" t="str">
        <f t="shared" si="35"/>
        <v>July</v>
      </c>
      <c r="C1130" s="4" t="str">
        <f t="shared" si="34"/>
        <v>Wednesday</v>
      </c>
      <c r="D1130" s="5">
        <v>45504.870544872683</v>
      </c>
      <c r="E1130" s="6" t="str" cm="1">
        <f t="array" ref="E1130">_xlfn.IFS(HOUR(D1130)&gt;=20,"20-24 ",HOUR(D1130)&gt;=16,"16-20",HOUR(D1130)&gt;=12,"12-16",HOUR(D1130)&lt;12,"7-12")</f>
        <v xml:space="preserve">20-24 </v>
      </c>
      <c r="F1130" s="6" t="s">
        <v>3</v>
      </c>
      <c r="G1130" s="6" t="s">
        <v>457</v>
      </c>
      <c r="H1130" s="6">
        <v>23.02</v>
      </c>
      <c r="I1130" s="6" t="s">
        <v>28</v>
      </c>
    </row>
    <row r="1131" spans="1:9" x14ac:dyDescent="0.35">
      <c r="A1131" s="34">
        <v>45504</v>
      </c>
      <c r="B1131" s="34" t="str">
        <f t="shared" si="35"/>
        <v>July</v>
      </c>
      <c r="C1131" s="4" t="str">
        <f t="shared" si="34"/>
        <v>Wednesday</v>
      </c>
      <c r="D1131" s="5">
        <v>45504.874595057867</v>
      </c>
      <c r="E1131" s="6" t="str" cm="1">
        <f t="array" ref="E1131">_xlfn.IFS(HOUR(D1131)&gt;=20,"20-24 ",HOUR(D1131)&gt;=16,"16-20",HOUR(D1131)&gt;=12,"12-16",HOUR(D1131)&lt;12,"7-12")</f>
        <v xml:space="preserve">20-24 </v>
      </c>
      <c r="F1131" s="6" t="s">
        <v>3</v>
      </c>
      <c r="G1131" s="6" t="s">
        <v>54</v>
      </c>
      <c r="H1131" s="6">
        <v>27.92</v>
      </c>
      <c r="I1131" s="6" t="s">
        <v>14</v>
      </c>
    </row>
    <row r="1132" spans="1:9" x14ac:dyDescent="0.35">
      <c r="A1132" s="34">
        <v>45504</v>
      </c>
      <c r="B1132" s="34" t="str">
        <f t="shared" si="35"/>
        <v>July</v>
      </c>
      <c r="C1132" s="4" t="str">
        <f t="shared" si="34"/>
        <v>Wednesday</v>
      </c>
      <c r="D1132" s="5">
        <v>45504.89335648148</v>
      </c>
      <c r="E1132" s="6" t="str" cm="1">
        <f t="array" ref="E1132">_xlfn.IFS(HOUR(D1132)&gt;=20,"20-24 ",HOUR(D1132)&gt;=16,"16-20",HOUR(D1132)&gt;=12,"12-16",HOUR(D1132)&lt;12,"7-12")</f>
        <v xml:space="preserve">20-24 </v>
      </c>
      <c r="F1132" s="6" t="s">
        <v>3</v>
      </c>
      <c r="G1132" s="6" t="s">
        <v>458</v>
      </c>
      <c r="H1132" s="6">
        <v>32.82</v>
      </c>
      <c r="I1132" s="6" t="s">
        <v>7</v>
      </c>
    </row>
    <row r="1133" spans="1:9" x14ac:dyDescent="0.35">
      <c r="A1133" s="34">
        <v>45504</v>
      </c>
      <c r="B1133" s="34" t="str">
        <f t="shared" si="35"/>
        <v>July</v>
      </c>
      <c r="C1133" s="4" t="str">
        <f t="shared" si="34"/>
        <v>Wednesday</v>
      </c>
      <c r="D1133" s="5">
        <v>45504.912636851848</v>
      </c>
      <c r="E1133" s="6" t="str" cm="1">
        <f t="array" ref="E1133">_xlfn.IFS(HOUR(D1133)&gt;=20,"20-24 ",HOUR(D1133)&gt;=16,"16-20",HOUR(D1133)&gt;=12,"12-16",HOUR(D1133)&lt;12,"7-12")</f>
        <v xml:space="preserve">20-24 </v>
      </c>
      <c r="F1133" s="6" t="s">
        <v>3</v>
      </c>
      <c r="G1133" s="6" t="s">
        <v>459</v>
      </c>
      <c r="H1133" s="6">
        <v>32.82</v>
      </c>
      <c r="I1133" s="6" t="s">
        <v>7</v>
      </c>
    </row>
    <row r="1134" spans="1:9" x14ac:dyDescent="0.35">
      <c r="A1134" s="34">
        <v>45504</v>
      </c>
      <c r="B1134" s="34" t="str">
        <f t="shared" si="35"/>
        <v>July</v>
      </c>
      <c r="C1134" s="4" t="str">
        <f t="shared" si="34"/>
        <v>Wednesday</v>
      </c>
      <c r="D1134" s="5">
        <v>45504.91338622685</v>
      </c>
      <c r="E1134" s="6" t="str" cm="1">
        <f t="array" ref="E1134">_xlfn.IFS(HOUR(D1134)&gt;=20,"20-24 ",HOUR(D1134)&gt;=16,"16-20",HOUR(D1134)&gt;=12,"12-16",HOUR(D1134)&lt;12,"7-12")</f>
        <v xml:space="preserve">20-24 </v>
      </c>
      <c r="F1134" s="6" t="s">
        <v>3</v>
      </c>
      <c r="G1134" s="6" t="s">
        <v>460</v>
      </c>
      <c r="H1134" s="6">
        <v>32.82</v>
      </c>
      <c r="I1134" s="6" t="s">
        <v>7</v>
      </c>
    </row>
  </sheetData>
  <autoFilter ref="A1:I1" xr:uid="{D680577E-BFB9-4F12-A067-78C2A40A5D3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700E-6DB5-4FDB-9213-7972FD998450}">
  <dimension ref="A2:AA456"/>
  <sheetViews>
    <sheetView showGridLines="0" topLeftCell="E1" workbookViewId="0">
      <selection activeCell="M12" sqref="M12"/>
    </sheetView>
  </sheetViews>
  <sheetFormatPr defaultRowHeight="14.5" x14ac:dyDescent="0.35"/>
  <cols>
    <col min="1" max="1" width="18.08984375" bestFit="1" customWidth="1"/>
    <col min="2" max="2" width="4.81640625" bestFit="1" customWidth="1"/>
    <col min="3" max="3" width="11.36328125" bestFit="1" customWidth="1"/>
    <col min="5" max="5" width="20" bestFit="1" customWidth="1"/>
    <col min="6" max="6" width="4.81640625" bestFit="1" customWidth="1"/>
    <col min="7" max="7" width="11.08984375" bestFit="1" customWidth="1"/>
    <col min="9" max="9" width="12.36328125" bestFit="1" customWidth="1"/>
    <col min="10" max="10" width="4.81640625" bestFit="1" customWidth="1"/>
    <col min="11" max="11" width="11.36328125" bestFit="1" customWidth="1"/>
    <col min="13" max="13" width="12.36328125" bestFit="1" customWidth="1"/>
    <col min="14" max="14" width="4.81640625" bestFit="1" customWidth="1"/>
    <col min="15" max="15" width="11.36328125" bestFit="1" customWidth="1"/>
    <col min="17" max="17" width="12.36328125" bestFit="1" customWidth="1"/>
    <col min="18" max="18" width="4.81640625" bestFit="1" customWidth="1"/>
    <col min="19" max="19" width="11.81640625" bestFit="1" customWidth="1"/>
    <col min="21" max="21" width="12.36328125" bestFit="1" customWidth="1"/>
    <col min="22" max="22" width="4.81640625" bestFit="1" customWidth="1"/>
    <col min="23" max="23" width="11.36328125" bestFit="1" customWidth="1"/>
    <col min="25" max="25" width="12.36328125" bestFit="1" customWidth="1"/>
    <col min="26" max="26" width="4.81640625" bestFit="1" customWidth="1"/>
    <col min="27" max="27" width="8.90625" bestFit="1" customWidth="1"/>
  </cols>
  <sheetData>
    <row r="2" spans="1:27" ht="15" thickBot="1" x14ac:dyDescent="0.4"/>
    <row r="3" spans="1:27" x14ac:dyDescent="0.35">
      <c r="A3" s="19" t="s">
        <v>629</v>
      </c>
      <c r="B3" s="20"/>
      <c r="E3" s="19" t="s">
        <v>630</v>
      </c>
      <c r="F3" s="25"/>
      <c r="G3" s="20"/>
      <c r="I3" s="19" t="s">
        <v>629</v>
      </c>
      <c r="J3" s="20"/>
      <c r="M3" s="19" t="s">
        <v>632</v>
      </c>
      <c r="N3" s="20"/>
      <c r="Q3" s="19" t="s">
        <v>632</v>
      </c>
      <c r="R3" s="20"/>
      <c r="U3" s="19" t="s">
        <v>632</v>
      </c>
      <c r="V3" s="20"/>
      <c r="Y3" s="19" t="s">
        <v>630</v>
      </c>
      <c r="Z3" s="20"/>
    </row>
    <row r="4" spans="1:27" x14ac:dyDescent="0.35">
      <c r="A4" s="21"/>
      <c r="B4" s="22"/>
      <c r="E4" s="21"/>
      <c r="G4" s="22"/>
      <c r="I4" s="21"/>
      <c r="J4" s="22"/>
      <c r="M4" s="21"/>
      <c r="N4" s="22"/>
      <c r="Q4" s="21"/>
      <c r="R4" s="22"/>
      <c r="U4" s="21"/>
      <c r="V4" s="22"/>
      <c r="Y4" s="21"/>
      <c r="Z4" s="22"/>
    </row>
    <row r="5" spans="1:27" ht="15" thickBot="1" x14ac:dyDescent="0.4">
      <c r="A5" s="23"/>
      <c r="B5" s="24"/>
      <c r="E5" s="23" t="s">
        <v>631</v>
      </c>
      <c r="F5" s="26"/>
      <c r="G5" s="24"/>
      <c r="I5" s="23"/>
      <c r="J5" s="24"/>
      <c r="M5" s="23"/>
      <c r="N5" s="24"/>
      <c r="Q5" s="23"/>
      <c r="R5" s="24"/>
      <c r="U5" s="23"/>
      <c r="V5" s="24"/>
      <c r="Y5" s="23"/>
      <c r="Z5" s="24"/>
    </row>
    <row r="8" spans="1:27" x14ac:dyDescent="0.35">
      <c r="A8" s="16" t="s">
        <v>464</v>
      </c>
      <c r="B8" t="s">
        <v>634</v>
      </c>
      <c r="C8" t="s">
        <v>633</v>
      </c>
      <c r="E8" s="16" t="s">
        <v>464</v>
      </c>
      <c r="F8" t="s">
        <v>634</v>
      </c>
      <c r="G8" t="s">
        <v>635</v>
      </c>
      <c r="I8" s="16" t="s">
        <v>464</v>
      </c>
      <c r="J8" t="s">
        <v>634</v>
      </c>
      <c r="K8" t="s">
        <v>633</v>
      </c>
      <c r="M8" s="16" t="s">
        <v>464</v>
      </c>
      <c r="N8" t="s">
        <v>634</v>
      </c>
      <c r="O8" t="s">
        <v>633</v>
      </c>
      <c r="Q8" s="16" t="s">
        <v>464</v>
      </c>
      <c r="R8" t="s">
        <v>634</v>
      </c>
      <c r="S8" t="s">
        <v>636</v>
      </c>
      <c r="U8" s="16" t="s">
        <v>464</v>
      </c>
      <c r="V8" t="s">
        <v>634</v>
      </c>
      <c r="W8" t="s">
        <v>633</v>
      </c>
      <c r="Y8" s="16" t="s">
        <v>464</v>
      </c>
      <c r="Z8" t="s">
        <v>634</v>
      </c>
      <c r="AA8" t="s">
        <v>637</v>
      </c>
    </row>
    <row r="9" spans="1:27" x14ac:dyDescent="0.35">
      <c r="A9" s="17" t="s">
        <v>14</v>
      </c>
      <c r="B9">
        <v>268</v>
      </c>
      <c r="C9" s="27">
        <v>0.23654015887025595</v>
      </c>
      <c r="E9" s="17" t="s">
        <v>463</v>
      </c>
      <c r="F9">
        <v>89</v>
      </c>
      <c r="G9" s="27">
        <v>7.8552515445719326E-2</v>
      </c>
      <c r="I9" s="17" t="s">
        <v>3</v>
      </c>
      <c r="J9">
        <v>1044</v>
      </c>
      <c r="K9" s="27">
        <v>0.92144748455428072</v>
      </c>
      <c r="M9" s="17" t="s">
        <v>683</v>
      </c>
      <c r="N9">
        <v>325</v>
      </c>
      <c r="O9" s="27">
        <v>0.28684907325684023</v>
      </c>
      <c r="Q9" s="17" t="s">
        <v>469</v>
      </c>
      <c r="R9">
        <v>267</v>
      </c>
      <c r="S9" s="27">
        <v>0.23565754633715799</v>
      </c>
      <c r="U9" s="17" t="s">
        <v>474</v>
      </c>
      <c r="V9">
        <v>185</v>
      </c>
      <c r="W9" s="27">
        <v>0.16328331862312445</v>
      </c>
      <c r="Y9" s="17" t="s">
        <v>479</v>
      </c>
      <c r="Z9">
        <v>11</v>
      </c>
      <c r="AA9" s="27">
        <v>9.7087378640776691E-3</v>
      </c>
    </row>
    <row r="10" spans="1:27" x14ac:dyDescent="0.35">
      <c r="A10" s="17" t="s">
        <v>7</v>
      </c>
      <c r="B10">
        <v>243</v>
      </c>
      <c r="C10" s="27">
        <v>0.21447484554280671</v>
      </c>
      <c r="E10" s="17" t="s">
        <v>23</v>
      </c>
      <c r="F10">
        <v>88</v>
      </c>
      <c r="G10" s="27">
        <v>7.7669902912621352E-2</v>
      </c>
      <c r="I10" s="17" t="s">
        <v>21</v>
      </c>
      <c r="J10">
        <v>89</v>
      </c>
      <c r="K10" s="27">
        <v>7.8552515445719326E-2</v>
      </c>
      <c r="M10" s="17" t="s">
        <v>684</v>
      </c>
      <c r="N10">
        <v>159</v>
      </c>
      <c r="O10" s="27">
        <v>0.14033539276257723</v>
      </c>
      <c r="Q10" s="17" t="s">
        <v>471</v>
      </c>
      <c r="R10">
        <v>237</v>
      </c>
      <c r="S10" s="27">
        <v>0.2091791703442189</v>
      </c>
      <c r="U10" s="17" t="s">
        <v>475</v>
      </c>
      <c r="V10">
        <v>165</v>
      </c>
      <c r="W10" s="27">
        <v>0.14563106796116504</v>
      </c>
      <c r="Y10" s="17" t="s">
        <v>480</v>
      </c>
      <c r="Z10">
        <v>7</v>
      </c>
      <c r="AA10" s="27">
        <v>6.1782877316857903E-3</v>
      </c>
    </row>
    <row r="11" spans="1:27" x14ac:dyDescent="0.35">
      <c r="A11" s="17" t="s">
        <v>43</v>
      </c>
      <c r="B11">
        <v>196</v>
      </c>
      <c r="C11" s="27">
        <v>0.17299205648720212</v>
      </c>
      <c r="E11" s="17" t="s">
        <v>19</v>
      </c>
      <c r="F11">
        <v>63</v>
      </c>
      <c r="G11" s="27">
        <v>5.5604589585172108E-2</v>
      </c>
      <c r="I11" s="17" t="s">
        <v>465</v>
      </c>
      <c r="J11">
        <v>1133</v>
      </c>
      <c r="K11" s="27">
        <v>1</v>
      </c>
      <c r="M11" s="17" t="s">
        <v>685</v>
      </c>
      <c r="N11">
        <v>343</v>
      </c>
      <c r="O11" s="27">
        <v>0.30273609885260372</v>
      </c>
      <c r="Q11" s="17" t="s">
        <v>470</v>
      </c>
      <c r="R11">
        <v>227</v>
      </c>
      <c r="S11" s="27">
        <v>0.20035304501323919</v>
      </c>
      <c r="U11" s="17" t="s">
        <v>476</v>
      </c>
      <c r="V11">
        <v>164</v>
      </c>
      <c r="W11" s="27">
        <v>0.14474845542806708</v>
      </c>
      <c r="Y11" s="17" t="s">
        <v>481</v>
      </c>
      <c r="Z11">
        <v>10</v>
      </c>
      <c r="AA11" s="27">
        <v>8.8261253309796991E-3</v>
      </c>
    </row>
    <row r="12" spans="1:27" x14ac:dyDescent="0.35">
      <c r="A12" s="17" t="s">
        <v>11</v>
      </c>
      <c r="B12">
        <v>169</v>
      </c>
      <c r="C12" s="27">
        <v>0.14916151809355693</v>
      </c>
      <c r="E12" s="17" t="s">
        <v>111</v>
      </c>
      <c r="F12">
        <v>27</v>
      </c>
      <c r="G12" s="27">
        <v>2.3830538393645191E-2</v>
      </c>
      <c r="M12" s="17" t="s">
        <v>686</v>
      </c>
      <c r="N12">
        <v>306</v>
      </c>
      <c r="O12" s="27">
        <v>0.27007943512797883</v>
      </c>
      <c r="Q12" s="17" t="s">
        <v>467</v>
      </c>
      <c r="R12">
        <v>206</v>
      </c>
      <c r="S12" s="27">
        <v>0.18181818181818182</v>
      </c>
      <c r="U12" s="17" t="s">
        <v>477</v>
      </c>
      <c r="V12">
        <v>163</v>
      </c>
      <c r="W12" s="27">
        <v>0.14386584289496912</v>
      </c>
      <c r="Y12" s="17" t="s">
        <v>482</v>
      </c>
      <c r="Z12">
        <v>4</v>
      </c>
      <c r="AA12" s="27">
        <v>3.5304501323918801E-3</v>
      </c>
    </row>
    <row r="13" spans="1:27" x14ac:dyDescent="0.35">
      <c r="A13" s="17" t="s">
        <v>28</v>
      </c>
      <c r="B13">
        <v>99</v>
      </c>
      <c r="C13" s="27">
        <v>8.7378640776699032E-2</v>
      </c>
      <c r="E13" s="17" t="s">
        <v>10</v>
      </c>
      <c r="F13">
        <v>23</v>
      </c>
      <c r="G13" s="27">
        <v>2.0300088261253312E-2</v>
      </c>
      <c r="M13" s="17" t="s">
        <v>465</v>
      </c>
      <c r="N13">
        <v>1133</v>
      </c>
      <c r="O13" s="27">
        <v>1</v>
      </c>
      <c r="Q13" s="17" t="s">
        <v>468</v>
      </c>
      <c r="R13">
        <v>196</v>
      </c>
      <c r="S13" s="27">
        <v>0.17299205648720212</v>
      </c>
      <c r="U13" s="17" t="s">
        <v>478</v>
      </c>
      <c r="V13">
        <v>154</v>
      </c>
      <c r="W13" s="27">
        <v>0.13592233009708737</v>
      </c>
      <c r="Y13" s="17" t="s">
        <v>483</v>
      </c>
      <c r="Z13">
        <v>9</v>
      </c>
      <c r="AA13" s="27">
        <v>7.9435127978817292E-3</v>
      </c>
    </row>
    <row r="14" spans="1:27" x14ac:dyDescent="0.35">
      <c r="A14" s="17" t="s">
        <v>9</v>
      </c>
      <c r="B14">
        <v>74</v>
      </c>
      <c r="C14" s="27">
        <v>6.5313327449249781E-2</v>
      </c>
      <c r="E14" s="17" t="s">
        <v>54</v>
      </c>
      <c r="F14">
        <v>22</v>
      </c>
      <c r="G14" s="27">
        <v>1.9417475728155338E-2</v>
      </c>
      <c r="Q14" s="17" t="s">
        <v>465</v>
      </c>
      <c r="R14">
        <v>1133</v>
      </c>
      <c r="S14" s="27">
        <v>1</v>
      </c>
      <c r="U14" s="17" t="s">
        <v>472</v>
      </c>
      <c r="V14">
        <v>151</v>
      </c>
      <c r="W14" s="27">
        <v>0.13327449249779347</v>
      </c>
      <c r="Y14" s="17" t="s">
        <v>484</v>
      </c>
      <c r="Z14">
        <v>5</v>
      </c>
      <c r="AA14" s="27">
        <v>4.4130626654898496E-3</v>
      </c>
    </row>
    <row r="15" spans="1:27" x14ac:dyDescent="0.35">
      <c r="A15" s="17" t="s">
        <v>35</v>
      </c>
      <c r="B15">
        <v>49</v>
      </c>
      <c r="C15" s="27">
        <v>4.3248014121800529E-2</v>
      </c>
      <c r="E15" s="17" t="s">
        <v>155</v>
      </c>
      <c r="F15">
        <v>17</v>
      </c>
      <c r="G15" s="27">
        <v>1.500441306266549E-2</v>
      </c>
      <c r="U15" s="17" t="s">
        <v>473</v>
      </c>
      <c r="V15">
        <v>151</v>
      </c>
      <c r="W15" s="27">
        <v>0.13327449249779347</v>
      </c>
      <c r="Y15" s="17" t="s">
        <v>485</v>
      </c>
      <c r="Z15">
        <v>6</v>
      </c>
      <c r="AA15" s="27">
        <v>5.2956751985878204E-3</v>
      </c>
    </row>
    <row r="16" spans="1:27" x14ac:dyDescent="0.35">
      <c r="A16" s="17" t="s">
        <v>18</v>
      </c>
      <c r="B16">
        <v>35</v>
      </c>
      <c r="C16" s="27">
        <v>3.089143865842895E-2</v>
      </c>
      <c r="E16" s="17" t="s">
        <v>6</v>
      </c>
      <c r="F16">
        <v>17</v>
      </c>
      <c r="G16" s="27">
        <v>1.500441306266549E-2</v>
      </c>
      <c r="U16" s="17" t="s">
        <v>465</v>
      </c>
      <c r="V16">
        <v>1133</v>
      </c>
      <c r="W16" s="27">
        <v>1</v>
      </c>
      <c r="Y16" s="17" t="s">
        <v>486</v>
      </c>
      <c r="Z16">
        <v>8</v>
      </c>
      <c r="AA16" s="27">
        <v>7.0609002647837602E-3</v>
      </c>
    </row>
    <row r="17" spans="1:27" x14ac:dyDescent="0.35">
      <c r="A17" s="17" t="s">
        <v>465</v>
      </c>
      <c r="B17">
        <v>1133</v>
      </c>
      <c r="C17" s="27">
        <v>1</v>
      </c>
      <c r="E17" s="17" t="s">
        <v>194</v>
      </c>
      <c r="F17">
        <v>12</v>
      </c>
      <c r="G17" s="27">
        <v>1.0591350397175641E-2</v>
      </c>
      <c r="Y17" s="17" t="s">
        <v>487</v>
      </c>
      <c r="Z17">
        <v>14</v>
      </c>
      <c r="AA17" s="27">
        <v>1.2356575463371581E-2</v>
      </c>
    </row>
    <row r="18" spans="1:27" x14ac:dyDescent="0.35">
      <c r="E18" s="17" t="s">
        <v>37</v>
      </c>
      <c r="F18">
        <v>12</v>
      </c>
      <c r="G18" s="27">
        <v>1.0591350397175641E-2</v>
      </c>
      <c r="Y18" s="17" t="s">
        <v>488</v>
      </c>
      <c r="Z18">
        <v>7</v>
      </c>
      <c r="AA18" s="27">
        <v>6.1782877316857903E-3</v>
      </c>
    </row>
    <row r="19" spans="1:27" x14ac:dyDescent="0.35">
      <c r="E19" s="17" t="s">
        <v>73</v>
      </c>
      <c r="F19">
        <v>12</v>
      </c>
      <c r="G19" s="27">
        <v>1.0591350397175641E-2</v>
      </c>
      <c r="Y19" s="17" t="s">
        <v>489</v>
      </c>
      <c r="Z19">
        <v>8</v>
      </c>
      <c r="AA19" s="27">
        <v>7.0609002647837602E-3</v>
      </c>
    </row>
    <row r="20" spans="1:27" x14ac:dyDescent="0.35">
      <c r="E20" s="17" t="s">
        <v>148</v>
      </c>
      <c r="F20">
        <v>11</v>
      </c>
      <c r="G20" s="27">
        <v>9.7087378640776691E-3</v>
      </c>
      <c r="Y20" s="17" t="s">
        <v>490</v>
      </c>
      <c r="Z20">
        <v>7</v>
      </c>
      <c r="AA20" s="27">
        <v>6.1782877316857903E-3</v>
      </c>
    </row>
    <row r="21" spans="1:27" x14ac:dyDescent="0.35">
      <c r="E21" s="17" t="s">
        <v>220</v>
      </c>
      <c r="F21">
        <v>9</v>
      </c>
      <c r="G21" s="27">
        <v>7.9435127978817292E-3</v>
      </c>
      <c r="Y21" s="17" t="s">
        <v>491</v>
      </c>
      <c r="Z21">
        <v>9</v>
      </c>
      <c r="AA21" s="27">
        <v>7.9435127978817292E-3</v>
      </c>
    </row>
    <row r="22" spans="1:27" x14ac:dyDescent="0.35">
      <c r="E22" s="17" t="s">
        <v>12</v>
      </c>
      <c r="F22">
        <v>9</v>
      </c>
      <c r="G22" s="27">
        <v>7.9435127978817292E-3</v>
      </c>
      <c r="Y22" s="17" t="s">
        <v>492</v>
      </c>
      <c r="Z22">
        <v>12</v>
      </c>
      <c r="AA22" s="27">
        <v>1.0591350397175641E-2</v>
      </c>
    </row>
    <row r="23" spans="1:27" x14ac:dyDescent="0.35">
      <c r="E23" s="17" t="s">
        <v>290</v>
      </c>
      <c r="F23">
        <v>9</v>
      </c>
      <c r="G23" s="27">
        <v>7.9435127978817292E-3</v>
      </c>
      <c r="Y23" s="17" t="s">
        <v>493</v>
      </c>
      <c r="Z23">
        <v>3</v>
      </c>
      <c r="AA23" s="27">
        <v>2.6478375992939102E-3</v>
      </c>
    </row>
    <row r="24" spans="1:27" x14ac:dyDescent="0.35">
      <c r="E24" s="17" t="s">
        <v>168</v>
      </c>
      <c r="F24">
        <v>8</v>
      </c>
      <c r="G24" s="27">
        <v>7.0609002647837602E-3</v>
      </c>
      <c r="Y24" s="17" t="s">
        <v>494</v>
      </c>
      <c r="Z24">
        <v>6</v>
      </c>
      <c r="AA24" s="27">
        <v>5.2956751985878204E-3</v>
      </c>
    </row>
    <row r="25" spans="1:27" x14ac:dyDescent="0.35">
      <c r="E25" s="17" t="s">
        <v>156</v>
      </c>
      <c r="F25">
        <v>8</v>
      </c>
      <c r="G25" s="27">
        <v>7.0609002647837602E-3</v>
      </c>
      <c r="Y25" s="17" t="s">
        <v>495</v>
      </c>
      <c r="Z25">
        <v>2</v>
      </c>
      <c r="AA25" s="27">
        <v>1.76522506619594E-3</v>
      </c>
    </row>
    <row r="26" spans="1:27" x14ac:dyDescent="0.35">
      <c r="E26" s="17" t="s">
        <v>206</v>
      </c>
      <c r="F26">
        <v>7</v>
      </c>
      <c r="G26" s="27">
        <v>6.1782877316857903E-3</v>
      </c>
      <c r="Y26" s="17" t="s">
        <v>496</v>
      </c>
      <c r="Z26">
        <v>4</v>
      </c>
      <c r="AA26" s="27">
        <v>3.5304501323918801E-3</v>
      </c>
    </row>
    <row r="27" spans="1:27" x14ac:dyDescent="0.35">
      <c r="E27" s="17" t="s">
        <v>167</v>
      </c>
      <c r="F27">
        <v>7</v>
      </c>
      <c r="G27" s="27">
        <v>6.1782877316857903E-3</v>
      </c>
      <c r="Y27" s="17" t="s">
        <v>497</v>
      </c>
      <c r="Z27">
        <v>6</v>
      </c>
      <c r="AA27" s="27">
        <v>5.2956751985878204E-3</v>
      </c>
    </row>
    <row r="28" spans="1:27" x14ac:dyDescent="0.35">
      <c r="E28" s="17" t="s">
        <v>31</v>
      </c>
      <c r="F28">
        <v>7</v>
      </c>
      <c r="G28" s="27">
        <v>6.1782877316857903E-3</v>
      </c>
      <c r="Y28" s="17" t="s">
        <v>498</v>
      </c>
      <c r="Z28">
        <v>6</v>
      </c>
      <c r="AA28" s="27">
        <v>5.2956751985878204E-3</v>
      </c>
    </row>
    <row r="29" spans="1:27" x14ac:dyDescent="0.35">
      <c r="E29" s="17" t="s">
        <v>398</v>
      </c>
      <c r="F29">
        <v>7</v>
      </c>
      <c r="G29" s="27">
        <v>6.1782877316857903E-3</v>
      </c>
      <c r="Y29" s="17" t="s">
        <v>499</v>
      </c>
      <c r="Z29">
        <v>6</v>
      </c>
      <c r="AA29" s="27">
        <v>5.2956751985878204E-3</v>
      </c>
    </row>
    <row r="30" spans="1:27" x14ac:dyDescent="0.35">
      <c r="E30" s="17" t="s">
        <v>178</v>
      </c>
      <c r="F30">
        <v>7</v>
      </c>
      <c r="G30" s="27">
        <v>6.1782877316857903E-3</v>
      </c>
      <c r="Y30" s="17" t="s">
        <v>500</v>
      </c>
      <c r="Z30">
        <v>6</v>
      </c>
      <c r="AA30" s="27">
        <v>5.2956751985878204E-3</v>
      </c>
    </row>
    <row r="31" spans="1:27" x14ac:dyDescent="0.35">
      <c r="E31" s="17" t="s">
        <v>64</v>
      </c>
      <c r="F31">
        <v>6</v>
      </c>
      <c r="G31" s="27">
        <v>5.2956751985878204E-3</v>
      </c>
      <c r="Y31" s="17" t="s">
        <v>501</v>
      </c>
      <c r="Z31">
        <v>8</v>
      </c>
      <c r="AA31" s="27">
        <v>7.0609002647837602E-3</v>
      </c>
    </row>
    <row r="32" spans="1:27" x14ac:dyDescent="0.35">
      <c r="E32" s="17" t="s">
        <v>132</v>
      </c>
      <c r="F32">
        <v>6</v>
      </c>
      <c r="G32" s="27">
        <v>5.2956751985878204E-3</v>
      </c>
      <c r="Y32" s="17" t="s">
        <v>502</v>
      </c>
      <c r="Z32">
        <v>2</v>
      </c>
      <c r="AA32" s="27">
        <v>1.76522506619594E-3</v>
      </c>
    </row>
    <row r="33" spans="5:27" x14ac:dyDescent="0.35">
      <c r="E33" s="17" t="s">
        <v>389</v>
      </c>
      <c r="F33">
        <v>6</v>
      </c>
      <c r="G33" s="27">
        <v>5.2956751985878204E-3</v>
      </c>
      <c r="Y33" s="17" t="s">
        <v>503</v>
      </c>
      <c r="Z33">
        <v>6</v>
      </c>
      <c r="AA33" s="27">
        <v>5.2956751985878204E-3</v>
      </c>
    </row>
    <row r="34" spans="5:27" x14ac:dyDescent="0.35">
      <c r="E34" s="17" t="s">
        <v>29</v>
      </c>
      <c r="F34">
        <v>6</v>
      </c>
      <c r="G34" s="27">
        <v>5.2956751985878204E-3</v>
      </c>
      <c r="Y34" s="17" t="s">
        <v>504</v>
      </c>
      <c r="Z34">
        <v>11</v>
      </c>
      <c r="AA34" s="27">
        <v>9.7087378640776691E-3</v>
      </c>
    </row>
    <row r="35" spans="5:27" x14ac:dyDescent="0.35">
      <c r="E35" s="17" t="s">
        <v>314</v>
      </c>
      <c r="F35">
        <v>5</v>
      </c>
      <c r="G35" s="27">
        <v>4.4130626654898496E-3</v>
      </c>
      <c r="Y35" s="17" t="s">
        <v>505</v>
      </c>
      <c r="Z35">
        <v>8</v>
      </c>
      <c r="AA35" s="27">
        <v>7.0609002647837602E-3</v>
      </c>
    </row>
    <row r="36" spans="5:27" x14ac:dyDescent="0.35">
      <c r="E36" s="17" t="s">
        <v>83</v>
      </c>
      <c r="F36">
        <v>5</v>
      </c>
      <c r="G36" s="27">
        <v>4.4130626654898496E-3</v>
      </c>
      <c r="Y36" s="17" t="s">
        <v>506</v>
      </c>
      <c r="Z36">
        <v>4</v>
      </c>
      <c r="AA36" s="27">
        <v>3.5304501323918801E-3</v>
      </c>
    </row>
    <row r="37" spans="5:27" x14ac:dyDescent="0.35">
      <c r="E37" s="17" t="s">
        <v>162</v>
      </c>
      <c r="F37">
        <v>5</v>
      </c>
      <c r="G37" s="27">
        <v>4.4130626654898496E-3</v>
      </c>
      <c r="Y37" s="17" t="s">
        <v>507</v>
      </c>
      <c r="Z37">
        <v>4</v>
      </c>
      <c r="AA37" s="27">
        <v>3.5304501323918801E-3</v>
      </c>
    </row>
    <row r="38" spans="5:27" x14ac:dyDescent="0.35">
      <c r="E38" s="17" t="s">
        <v>217</v>
      </c>
      <c r="F38">
        <v>5</v>
      </c>
      <c r="G38" s="27">
        <v>4.4130626654898496E-3</v>
      </c>
      <c r="Y38" s="17" t="s">
        <v>508</v>
      </c>
      <c r="Z38">
        <v>5</v>
      </c>
      <c r="AA38" s="27">
        <v>4.4130626654898496E-3</v>
      </c>
    </row>
    <row r="39" spans="5:27" x14ac:dyDescent="0.35">
      <c r="E39" s="17" t="s">
        <v>399</v>
      </c>
      <c r="F39">
        <v>5</v>
      </c>
      <c r="G39" s="27">
        <v>4.4130626654898496E-3</v>
      </c>
      <c r="Y39" s="17" t="s">
        <v>509</v>
      </c>
      <c r="Z39">
        <v>2</v>
      </c>
      <c r="AA39" s="27">
        <v>1.76522506619594E-3</v>
      </c>
    </row>
    <row r="40" spans="5:27" x14ac:dyDescent="0.35">
      <c r="E40" s="17" t="s">
        <v>47</v>
      </c>
      <c r="F40">
        <v>5</v>
      </c>
      <c r="G40" s="27">
        <v>4.4130626654898496E-3</v>
      </c>
      <c r="Y40" s="17" t="s">
        <v>510</v>
      </c>
      <c r="Z40">
        <v>7</v>
      </c>
      <c r="AA40" s="27">
        <v>6.1782877316857903E-3</v>
      </c>
    </row>
    <row r="41" spans="5:27" x14ac:dyDescent="0.35">
      <c r="E41" s="17" t="s">
        <v>91</v>
      </c>
      <c r="F41">
        <v>5</v>
      </c>
      <c r="G41" s="27">
        <v>4.4130626654898496E-3</v>
      </c>
      <c r="Y41" s="17" t="s">
        <v>511</v>
      </c>
      <c r="Z41">
        <v>4</v>
      </c>
      <c r="AA41" s="27">
        <v>3.5304501323918801E-3</v>
      </c>
    </row>
    <row r="42" spans="5:27" x14ac:dyDescent="0.35">
      <c r="E42" s="17" t="s">
        <v>157</v>
      </c>
      <c r="F42">
        <v>5</v>
      </c>
      <c r="G42" s="27">
        <v>4.4130626654898496E-3</v>
      </c>
      <c r="Y42" s="17" t="s">
        <v>512</v>
      </c>
      <c r="Z42">
        <v>4</v>
      </c>
      <c r="AA42" s="27">
        <v>3.5304501323918801E-3</v>
      </c>
    </row>
    <row r="43" spans="5:27" x14ac:dyDescent="0.35">
      <c r="E43" s="17" t="s">
        <v>208</v>
      </c>
      <c r="F43">
        <v>5</v>
      </c>
      <c r="G43" s="27">
        <v>4.4130626654898496E-3</v>
      </c>
      <c r="Y43" s="17" t="s">
        <v>513</v>
      </c>
      <c r="Z43">
        <v>5</v>
      </c>
      <c r="AA43" s="27">
        <v>4.4130626654898496E-3</v>
      </c>
    </row>
    <row r="44" spans="5:27" x14ac:dyDescent="0.35">
      <c r="E44" s="17" t="s">
        <v>170</v>
      </c>
      <c r="F44">
        <v>4</v>
      </c>
      <c r="G44" s="27">
        <v>3.5304501323918801E-3</v>
      </c>
      <c r="Y44" s="17" t="s">
        <v>514</v>
      </c>
      <c r="Z44">
        <v>11</v>
      </c>
      <c r="AA44" s="27">
        <v>9.7087378640776691E-3</v>
      </c>
    </row>
    <row r="45" spans="5:27" x14ac:dyDescent="0.35">
      <c r="E45" s="17" t="s">
        <v>342</v>
      </c>
      <c r="F45">
        <v>4</v>
      </c>
      <c r="G45" s="27">
        <v>3.5304501323918801E-3</v>
      </c>
      <c r="Y45" s="17" t="s">
        <v>515</v>
      </c>
      <c r="Z45">
        <v>4</v>
      </c>
      <c r="AA45" s="27">
        <v>3.5304501323918801E-3</v>
      </c>
    </row>
    <row r="46" spans="5:27" x14ac:dyDescent="0.35">
      <c r="E46" s="17" t="s">
        <v>318</v>
      </c>
      <c r="F46">
        <v>4</v>
      </c>
      <c r="G46" s="27">
        <v>3.5304501323918801E-3</v>
      </c>
      <c r="Y46" s="17" t="s">
        <v>516</v>
      </c>
      <c r="Z46">
        <v>7</v>
      </c>
      <c r="AA46" s="27">
        <v>6.1782877316857903E-3</v>
      </c>
    </row>
    <row r="47" spans="5:27" x14ac:dyDescent="0.35">
      <c r="E47" s="17" t="s">
        <v>63</v>
      </c>
      <c r="F47">
        <v>4</v>
      </c>
      <c r="G47" s="27">
        <v>3.5304501323918801E-3</v>
      </c>
      <c r="Y47" s="17" t="s">
        <v>517</v>
      </c>
      <c r="Z47">
        <v>10</v>
      </c>
      <c r="AA47" s="27">
        <v>8.8261253309796991E-3</v>
      </c>
    </row>
    <row r="48" spans="5:27" x14ac:dyDescent="0.35">
      <c r="E48" s="17" t="s">
        <v>284</v>
      </c>
      <c r="F48">
        <v>4</v>
      </c>
      <c r="G48" s="27">
        <v>3.5304501323918801E-3</v>
      </c>
      <c r="Y48" s="17" t="s">
        <v>518</v>
      </c>
      <c r="Z48">
        <v>5</v>
      </c>
      <c r="AA48" s="27">
        <v>4.4130626654898496E-3</v>
      </c>
    </row>
    <row r="49" spans="5:27" x14ac:dyDescent="0.35">
      <c r="E49" s="17" t="s">
        <v>69</v>
      </c>
      <c r="F49">
        <v>4</v>
      </c>
      <c r="G49" s="27">
        <v>3.5304501323918801E-3</v>
      </c>
      <c r="Y49" s="17" t="s">
        <v>519</v>
      </c>
      <c r="Z49">
        <v>5</v>
      </c>
      <c r="AA49" s="27">
        <v>4.4130626654898496E-3</v>
      </c>
    </row>
    <row r="50" spans="5:27" x14ac:dyDescent="0.35">
      <c r="E50" s="17" t="s">
        <v>317</v>
      </c>
      <c r="F50">
        <v>4</v>
      </c>
      <c r="G50" s="27">
        <v>3.5304501323918801E-3</v>
      </c>
      <c r="Y50" s="17" t="s">
        <v>520</v>
      </c>
      <c r="Z50">
        <v>5</v>
      </c>
      <c r="AA50" s="27">
        <v>4.4130626654898496E-3</v>
      </c>
    </row>
    <row r="51" spans="5:27" x14ac:dyDescent="0.35">
      <c r="E51" s="17" t="s">
        <v>234</v>
      </c>
      <c r="F51">
        <v>4</v>
      </c>
      <c r="G51" s="27">
        <v>3.5304501323918801E-3</v>
      </c>
      <c r="Y51" s="17" t="s">
        <v>521</v>
      </c>
      <c r="Z51">
        <v>2</v>
      </c>
      <c r="AA51" s="27">
        <v>1.76522506619594E-3</v>
      </c>
    </row>
    <row r="52" spans="5:27" x14ac:dyDescent="0.35">
      <c r="E52" s="17" t="s">
        <v>325</v>
      </c>
      <c r="F52">
        <v>4</v>
      </c>
      <c r="G52" s="27">
        <v>3.5304501323918801E-3</v>
      </c>
      <c r="Y52" s="17" t="s">
        <v>522</v>
      </c>
      <c r="Z52">
        <v>8</v>
      </c>
      <c r="AA52" s="27">
        <v>7.0609002647837602E-3</v>
      </c>
    </row>
    <row r="53" spans="5:27" x14ac:dyDescent="0.35">
      <c r="E53" s="17" t="s">
        <v>113</v>
      </c>
      <c r="F53">
        <v>4</v>
      </c>
      <c r="G53" s="27">
        <v>3.5304501323918801E-3</v>
      </c>
      <c r="Y53" s="17" t="s">
        <v>523</v>
      </c>
      <c r="Z53">
        <v>13</v>
      </c>
      <c r="AA53" s="27">
        <v>1.1473962930273611E-2</v>
      </c>
    </row>
    <row r="54" spans="5:27" x14ac:dyDescent="0.35">
      <c r="E54" s="17" t="s">
        <v>264</v>
      </c>
      <c r="F54">
        <v>4</v>
      </c>
      <c r="G54" s="27">
        <v>3.5304501323918801E-3</v>
      </c>
      <c r="Y54" s="17" t="s">
        <v>524</v>
      </c>
      <c r="Z54">
        <v>5</v>
      </c>
      <c r="AA54" s="27">
        <v>4.4130626654898496E-3</v>
      </c>
    </row>
    <row r="55" spans="5:27" x14ac:dyDescent="0.35">
      <c r="E55" s="17" t="s">
        <v>38</v>
      </c>
      <c r="F55">
        <v>4</v>
      </c>
      <c r="G55" s="27">
        <v>3.5304501323918801E-3</v>
      </c>
      <c r="Y55" s="17" t="s">
        <v>525</v>
      </c>
      <c r="Z55">
        <v>8</v>
      </c>
      <c r="AA55" s="27">
        <v>7.0609002647837602E-3</v>
      </c>
    </row>
    <row r="56" spans="5:27" x14ac:dyDescent="0.35">
      <c r="E56" s="17" t="s">
        <v>381</v>
      </c>
      <c r="F56">
        <v>3</v>
      </c>
      <c r="G56" s="27">
        <v>2.6478375992939102E-3</v>
      </c>
      <c r="Y56" s="17" t="s">
        <v>526</v>
      </c>
      <c r="Z56">
        <v>6</v>
      </c>
      <c r="AA56" s="27">
        <v>5.2956751985878204E-3</v>
      </c>
    </row>
    <row r="57" spans="5:27" x14ac:dyDescent="0.35">
      <c r="E57" s="17" t="s">
        <v>271</v>
      </c>
      <c r="F57">
        <v>3</v>
      </c>
      <c r="G57" s="27">
        <v>2.6478375992939102E-3</v>
      </c>
      <c r="Y57" s="17" t="s">
        <v>527</v>
      </c>
      <c r="Z57">
        <v>10</v>
      </c>
      <c r="AA57" s="27">
        <v>8.8261253309796991E-3</v>
      </c>
    </row>
    <row r="58" spans="5:27" x14ac:dyDescent="0.35">
      <c r="E58" s="17" t="s">
        <v>78</v>
      </c>
      <c r="F58">
        <v>3</v>
      </c>
      <c r="G58" s="27">
        <v>2.6478375992939102E-3</v>
      </c>
      <c r="Y58" s="17" t="s">
        <v>528</v>
      </c>
      <c r="Z58">
        <v>7</v>
      </c>
      <c r="AA58" s="27">
        <v>6.1782877316857903E-3</v>
      </c>
    </row>
    <row r="59" spans="5:27" x14ac:dyDescent="0.35">
      <c r="E59" s="17" t="s">
        <v>281</v>
      </c>
      <c r="F59">
        <v>3</v>
      </c>
      <c r="G59" s="27">
        <v>2.6478375992939102E-3</v>
      </c>
      <c r="Y59" s="17" t="s">
        <v>529</v>
      </c>
      <c r="Z59">
        <v>14</v>
      </c>
      <c r="AA59" s="27">
        <v>1.2356575463371581E-2</v>
      </c>
    </row>
    <row r="60" spans="5:27" x14ac:dyDescent="0.35">
      <c r="E60" s="17" t="s">
        <v>353</v>
      </c>
      <c r="F60">
        <v>3</v>
      </c>
      <c r="G60" s="27">
        <v>2.6478375992939102E-3</v>
      </c>
      <c r="Y60" s="17" t="s">
        <v>530</v>
      </c>
      <c r="Z60">
        <v>3</v>
      </c>
      <c r="AA60" s="27">
        <v>2.6478375992939102E-3</v>
      </c>
    </row>
    <row r="61" spans="5:27" x14ac:dyDescent="0.35">
      <c r="E61" s="17" t="s">
        <v>232</v>
      </c>
      <c r="F61">
        <v>3</v>
      </c>
      <c r="G61" s="27">
        <v>2.6478375992939102E-3</v>
      </c>
      <c r="Y61" s="17" t="s">
        <v>531</v>
      </c>
      <c r="Z61">
        <v>5</v>
      </c>
      <c r="AA61" s="27">
        <v>4.4130626654898496E-3</v>
      </c>
    </row>
    <row r="62" spans="5:27" x14ac:dyDescent="0.35">
      <c r="E62" s="17" t="s">
        <v>134</v>
      </c>
      <c r="F62">
        <v>3</v>
      </c>
      <c r="G62" s="27">
        <v>2.6478375992939102E-3</v>
      </c>
      <c r="Y62" s="17" t="s">
        <v>532</v>
      </c>
      <c r="Z62">
        <v>5</v>
      </c>
      <c r="AA62" s="27">
        <v>4.4130626654898496E-3</v>
      </c>
    </row>
    <row r="63" spans="5:27" x14ac:dyDescent="0.35">
      <c r="E63" s="17" t="s">
        <v>288</v>
      </c>
      <c r="F63">
        <v>3</v>
      </c>
      <c r="G63" s="27">
        <v>2.6478375992939102E-3</v>
      </c>
      <c r="Y63" s="17" t="s">
        <v>533</v>
      </c>
      <c r="Z63">
        <v>8</v>
      </c>
      <c r="AA63" s="27">
        <v>7.0609002647837602E-3</v>
      </c>
    </row>
    <row r="64" spans="5:27" x14ac:dyDescent="0.35">
      <c r="E64" s="17" t="s">
        <v>401</v>
      </c>
      <c r="F64">
        <v>3</v>
      </c>
      <c r="G64" s="27">
        <v>2.6478375992939102E-3</v>
      </c>
      <c r="Y64" s="17" t="s">
        <v>534</v>
      </c>
      <c r="Z64">
        <v>4</v>
      </c>
      <c r="AA64" s="27">
        <v>3.5304501323918801E-3</v>
      </c>
    </row>
    <row r="65" spans="5:27" x14ac:dyDescent="0.35">
      <c r="E65" s="17" t="s">
        <v>402</v>
      </c>
      <c r="F65">
        <v>3</v>
      </c>
      <c r="G65" s="27">
        <v>2.6478375992939102E-3</v>
      </c>
      <c r="Y65" s="17" t="s">
        <v>535</v>
      </c>
      <c r="Z65">
        <v>9</v>
      </c>
      <c r="AA65" s="27">
        <v>7.9435127978817292E-3</v>
      </c>
    </row>
    <row r="66" spans="5:27" x14ac:dyDescent="0.35">
      <c r="E66" s="17" t="s">
        <v>347</v>
      </c>
      <c r="F66">
        <v>3</v>
      </c>
      <c r="G66" s="27">
        <v>2.6478375992939102E-3</v>
      </c>
      <c r="Y66" s="17" t="s">
        <v>536</v>
      </c>
      <c r="Z66">
        <v>1</v>
      </c>
      <c r="AA66" s="27">
        <v>8.8261253309797002E-4</v>
      </c>
    </row>
    <row r="67" spans="5:27" x14ac:dyDescent="0.35">
      <c r="E67" s="17" t="s">
        <v>413</v>
      </c>
      <c r="F67">
        <v>3</v>
      </c>
      <c r="G67" s="27">
        <v>2.6478375992939102E-3</v>
      </c>
      <c r="Y67" s="17" t="s">
        <v>537</v>
      </c>
      <c r="Z67">
        <v>5</v>
      </c>
      <c r="AA67" s="27">
        <v>4.4130626654898496E-3</v>
      </c>
    </row>
    <row r="68" spans="5:27" x14ac:dyDescent="0.35">
      <c r="E68" s="17" t="s">
        <v>379</v>
      </c>
      <c r="F68">
        <v>3</v>
      </c>
      <c r="G68" s="27">
        <v>2.6478375992939102E-3</v>
      </c>
      <c r="Y68" s="17" t="s">
        <v>538</v>
      </c>
      <c r="Z68">
        <v>8</v>
      </c>
      <c r="AA68" s="27">
        <v>7.0609002647837602E-3</v>
      </c>
    </row>
    <row r="69" spans="5:27" x14ac:dyDescent="0.35">
      <c r="E69" s="17" t="s">
        <v>313</v>
      </c>
      <c r="F69">
        <v>3</v>
      </c>
      <c r="G69" s="27">
        <v>2.6478375992939102E-3</v>
      </c>
      <c r="Y69" s="17" t="s">
        <v>539</v>
      </c>
      <c r="Z69">
        <v>8</v>
      </c>
      <c r="AA69" s="27">
        <v>7.0609002647837602E-3</v>
      </c>
    </row>
    <row r="70" spans="5:27" x14ac:dyDescent="0.35">
      <c r="E70" s="17" t="s">
        <v>387</v>
      </c>
      <c r="F70">
        <v>3</v>
      </c>
      <c r="G70" s="27">
        <v>2.6478375992939102E-3</v>
      </c>
      <c r="Y70" s="17" t="s">
        <v>540</v>
      </c>
      <c r="Z70">
        <v>7</v>
      </c>
      <c r="AA70" s="27">
        <v>6.1782877316857903E-3</v>
      </c>
    </row>
    <row r="71" spans="5:27" x14ac:dyDescent="0.35">
      <c r="E71" s="17" t="s">
        <v>105</v>
      </c>
      <c r="F71">
        <v>3</v>
      </c>
      <c r="G71" s="27">
        <v>2.6478375992939102E-3</v>
      </c>
      <c r="Y71" s="17" t="s">
        <v>541</v>
      </c>
      <c r="Z71">
        <v>3</v>
      </c>
      <c r="AA71" s="27">
        <v>2.6478375992939102E-3</v>
      </c>
    </row>
    <row r="72" spans="5:27" x14ac:dyDescent="0.35">
      <c r="E72" s="17" t="s">
        <v>393</v>
      </c>
      <c r="F72">
        <v>3</v>
      </c>
      <c r="G72" s="27">
        <v>2.6478375992939102E-3</v>
      </c>
      <c r="Y72" s="17" t="s">
        <v>542</v>
      </c>
      <c r="Z72">
        <v>10</v>
      </c>
      <c r="AA72" s="27">
        <v>8.8261253309796991E-3</v>
      </c>
    </row>
    <row r="73" spans="5:27" x14ac:dyDescent="0.35">
      <c r="E73" s="17" t="s">
        <v>219</v>
      </c>
      <c r="F73">
        <v>3</v>
      </c>
      <c r="G73" s="27">
        <v>2.6478375992939102E-3</v>
      </c>
      <c r="Y73" s="17" t="s">
        <v>543</v>
      </c>
      <c r="Z73">
        <v>10</v>
      </c>
      <c r="AA73" s="27">
        <v>8.8261253309796991E-3</v>
      </c>
    </row>
    <row r="74" spans="5:27" x14ac:dyDescent="0.35">
      <c r="E74" s="17" t="s">
        <v>200</v>
      </c>
      <c r="F74">
        <v>3</v>
      </c>
      <c r="G74" s="27">
        <v>2.6478375992939102E-3</v>
      </c>
      <c r="Y74" s="17" t="s">
        <v>544</v>
      </c>
      <c r="Z74">
        <v>1</v>
      </c>
      <c r="AA74" s="27">
        <v>8.8261253309797002E-4</v>
      </c>
    </row>
    <row r="75" spans="5:27" x14ac:dyDescent="0.35">
      <c r="E75" s="17" t="s">
        <v>239</v>
      </c>
      <c r="F75">
        <v>3</v>
      </c>
      <c r="G75" s="27">
        <v>2.6478375992939102E-3</v>
      </c>
      <c r="Y75" s="17" t="s">
        <v>545</v>
      </c>
      <c r="Z75">
        <v>9</v>
      </c>
      <c r="AA75" s="27">
        <v>7.9435127978817292E-3</v>
      </c>
    </row>
    <row r="76" spans="5:27" x14ac:dyDescent="0.35">
      <c r="E76" s="17" t="s">
        <v>274</v>
      </c>
      <c r="F76">
        <v>3</v>
      </c>
      <c r="G76" s="27">
        <v>2.6478375992939102E-3</v>
      </c>
      <c r="Y76" s="17" t="s">
        <v>546</v>
      </c>
      <c r="Z76">
        <v>4</v>
      </c>
      <c r="AA76" s="27">
        <v>3.5304501323918801E-3</v>
      </c>
    </row>
    <row r="77" spans="5:27" x14ac:dyDescent="0.35">
      <c r="E77" s="17" t="s">
        <v>32</v>
      </c>
      <c r="F77">
        <v>3</v>
      </c>
      <c r="G77" s="27">
        <v>2.6478375992939102E-3</v>
      </c>
      <c r="Y77" s="17" t="s">
        <v>547</v>
      </c>
      <c r="Z77">
        <v>8</v>
      </c>
      <c r="AA77" s="27">
        <v>7.0609002647837602E-3</v>
      </c>
    </row>
    <row r="78" spans="5:27" x14ac:dyDescent="0.35">
      <c r="E78" s="17" t="s">
        <v>297</v>
      </c>
      <c r="F78">
        <v>3</v>
      </c>
      <c r="G78" s="27">
        <v>2.6478375992939102E-3</v>
      </c>
      <c r="Y78" s="17" t="s">
        <v>548</v>
      </c>
      <c r="Z78">
        <v>8</v>
      </c>
      <c r="AA78" s="27">
        <v>7.0609002647837602E-3</v>
      </c>
    </row>
    <row r="79" spans="5:27" x14ac:dyDescent="0.35">
      <c r="E79" s="17" t="s">
        <v>457</v>
      </c>
      <c r="F79">
        <v>3</v>
      </c>
      <c r="G79" s="27">
        <v>2.6478375992939102E-3</v>
      </c>
      <c r="Y79" s="17" t="s">
        <v>549</v>
      </c>
      <c r="Z79">
        <v>3</v>
      </c>
      <c r="AA79" s="27">
        <v>2.6478375992939102E-3</v>
      </c>
    </row>
    <row r="80" spans="5:27" x14ac:dyDescent="0.35">
      <c r="E80" s="17" t="s">
        <v>205</v>
      </c>
      <c r="F80">
        <v>3</v>
      </c>
      <c r="G80" s="27">
        <v>2.6478375992939102E-3</v>
      </c>
      <c r="Y80" s="17" t="s">
        <v>550</v>
      </c>
      <c r="Z80">
        <v>12</v>
      </c>
      <c r="AA80" s="27">
        <v>1.0591350397175641E-2</v>
      </c>
    </row>
    <row r="81" spans="5:27" x14ac:dyDescent="0.35">
      <c r="E81" s="17" t="s">
        <v>238</v>
      </c>
      <c r="F81">
        <v>3</v>
      </c>
      <c r="G81" s="27">
        <v>2.6478375992939102E-3</v>
      </c>
      <c r="Y81" s="17" t="s">
        <v>551</v>
      </c>
      <c r="Z81">
        <v>12</v>
      </c>
      <c r="AA81" s="27">
        <v>1.0591350397175641E-2</v>
      </c>
    </row>
    <row r="82" spans="5:27" x14ac:dyDescent="0.35">
      <c r="E82" s="17" t="s">
        <v>322</v>
      </c>
      <c r="F82">
        <v>2</v>
      </c>
      <c r="G82" s="27">
        <v>1.76522506619594E-3</v>
      </c>
      <c r="Y82" s="17" t="s">
        <v>552</v>
      </c>
      <c r="Z82">
        <v>9</v>
      </c>
      <c r="AA82" s="27">
        <v>7.9435127978817292E-3</v>
      </c>
    </row>
    <row r="83" spans="5:27" x14ac:dyDescent="0.35">
      <c r="E83" s="17" t="s">
        <v>246</v>
      </c>
      <c r="F83">
        <v>2</v>
      </c>
      <c r="G83" s="27">
        <v>1.76522506619594E-3</v>
      </c>
      <c r="Y83" s="17" t="s">
        <v>553</v>
      </c>
      <c r="Z83">
        <v>9</v>
      </c>
      <c r="AA83" s="27">
        <v>7.9435127978817292E-3</v>
      </c>
    </row>
    <row r="84" spans="5:27" x14ac:dyDescent="0.35">
      <c r="E84" s="17" t="s">
        <v>397</v>
      </c>
      <c r="F84">
        <v>2</v>
      </c>
      <c r="G84" s="27">
        <v>1.76522506619594E-3</v>
      </c>
      <c r="Y84" s="17" t="s">
        <v>554</v>
      </c>
      <c r="Z84">
        <v>8</v>
      </c>
      <c r="AA84" s="27">
        <v>7.0609002647837602E-3</v>
      </c>
    </row>
    <row r="85" spans="5:27" x14ac:dyDescent="0.35">
      <c r="E85" s="17" t="s">
        <v>90</v>
      </c>
      <c r="F85">
        <v>2</v>
      </c>
      <c r="G85" s="27">
        <v>1.76522506619594E-3</v>
      </c>
      <c r="Y85" s="17" t="s">
        <v>555</v>
      </c>
      <c r="Z85">
        <v>13</v>
      </c>
      <c r="AA85" s="27">
        <v>1.1473962930273611E-2</v>
      </c>
    </row>
    <row r="86" spans="5:27" x14ac:dyDescent="0.35">
      <c r="E86" s="17" t="s">
        <v>88</v>
      </c>
      <c r="F86">
        <v>2</v>
      </c>
      <c r="G86" s="27">
        <v>1.76522506619594E-3</v>
      </c>
      <c r="Y86" s="17" t="s">
        <v>556</v>
      </c>
      <c r="Z86">
        <v>17</v>
      </c>
      <c r="AA86" s="27">
        <v>1.500441306266549E-2</v>
      </c>
    </row>
    <row r="87" spans="5:27" x14ac:dyDescent="0.35">
      <c r="E87" s="17" t="s">
        <v>95</v>
      </c>
      <c r="F87">
        <v>2</v>
      </c>
      <c r="G87" s="27">
        <v>1.76522506619594E-3</v>
      </c>
      <c r="Y87" s="17" t="s">
        <v>557</v>
      </c>
      <c r="Z87">
        <v>9</v>
      </c>
      <c r="AA87" s="27">
        <v>7.9435127978817292E-3</v>
      </c>
    </row>
    <row r="88" spans="5:27" x14ac:dyDescent="0.35">
      <c r="E88" s="17" t="s">
        <v>75</v>
      </c>
      <c r="F88">
        <v>2</v>
      </c>
      <c r="G88" s="27">
        <v>1.76522506619594E-3</v>
      </c>
      <c r="Y88" s="17" t="s">
        <v>558</v>
      </c>
      <c r="Z88">
        <v>11</v>
      </c>
      <c r="AA88" s="27">
        <v>9.7087378640776691E-3</v>
      </c>
    </row>
    <row r="89" spans="5:27" x14ac:dyDescent="0.35">
      <c r="E89" s="17" t="s">
        <v>99</v>
      </c>
      <c r="F89">
        <v>2</v>
      </c>
      <c r="G89" s="27">
        <v>1.76522506619594E-3</v>
      </c>
      <c r="Y89" s="17" t="s">
        <v>559</v>
      </c>
      <c r="Z89">
        <v>16</v>
      </c>
      <c r="AA89" s="27">
        <v>1.412180052956752E-2</v>
      </c>
    </row>
    <row r="90" spans="5:27" x14ac:dyDescent="0.35">
      <c r="E90" s="17" t="s">
        <v>435</v>
      </c>
      <c r="F90">
        <v>2</v>
      </c>
      <c r="G90" s="27">
        <v>1.76522506619594E-3</v>
      </c>
      <c r="Y90" s="17" t="s">
        <v>560</v>
      </c>
      <c r="Z90">
        <v>7</v>
      </c>
      <c r="AA90" s="27">
        <v>6.1782877316857903E-3</v>
      </c>
    </row>
    <row r="91" spans="5:27" x14ac:dyDescent="0.35">
      <c r="E91" s="17" t="s">
        <v>102</v>
      </c>
      <c r="F91">
        <v>2</v>
      </c>
      <c r="G91" s="27">
        <v>1.76522506619594E-3</v>
      </c>
      <c r="Y91" s="17" t="s">
        <v>561</v>
      </c>
      <c r="Z91">
        <v>8</v>
      </c>
      <c r="AA91" s="27">
        <v>7.0609002647837602E-3</v>
      </c>
    </row>
    <row r="92" spans="5:27" x14ac:dyDescent="0.35">
      <c r="E92" s="17" t="s">
        <v>265</v>
      </c>
      <c r="F92">
        <v>2</v>
      </c>
      <c r="G92" s="27">
        <v>1.76522506619594E-3</v>
      </c>
      <c r="Y92" s="17" t="s">
        <v>562</v>
      </c>
      <c r="Z92">
        <v>15</v>
      </c>
      <c r="AA92" s="27">
        <v>1.323918799646955E-2</v>
      </c>
    </row>
    <row r="93" spans="5:27" x14ac:dyDescent="0.35">
      <c r="E93" s="17" t="s">
        <v>17</v>
      </c>
      <c r="F93">
        <v>2</v>
      </c>
      <c r="G93" s="27">
        <v>1.76522506619594E-3</v>
      </c>
      <c r="Y93" s="17" t="s">
        <v>563</v>
      </c>
      <c r="Z93">
        <v>11</v>
      </c>
      <c r="AA93" s="27">
        <v>9.7087378640776691E-3</v>
      </c>
    </row>
    <row r="94" spans="5:27" x14ac:dyDescent="0.35">
      <c r="E94" s="17" t="s">
        <v>67</v>
      </c>
      <c r="F94">
        <v>2</v>
      </c>
      <c r="G94" s="27">
        <v>1.76522506619594E-3</v>
      </c>
      <c r="Y94" s="17" t="s">
        <v>564</v>
      </c>
      <c r="Z94">
        <v>11</v>
      </c>
      <c r="AA94" s="27">
        <v>9.7087378640776691E-3</v>
      </c>
    </row>
    <row r="95" spans="5:27" x14ac:dyDescent="0.35">
      <c r="E95" s="17" t="s">
        <v>112</v>
      </c>
      <c r="F95">
        <v>2</v>
      </c>
      <c r="G95" s="27">
        <v>1.76522506619594E-3</v>
      </c>
      <c r="Y95" s="17" t="s">
        <v>565</v>
      </c>
      <c r="Z95">
        <v>11</v>
      </c>
      <c r="AA95" s="27">
        <v>9.7087378640776691E-3</v>
      </c>
    </row>
    <row r="96" spans="5:27" x14ac:dyDescent="0.35">
      <c r="E96" s="17" t="s">
        <v>334</v>
      </c>
      <c r="F96">
        <v>2</v>
      </c>
      <c r="G96" s="27">
        <v>1.76522506619594E-3</v>
      </c>
      <c r="Y96" s="17" t="s">
        <v>566</v>
      </c>
      <c r="Z96">
        <v>11</v>
      </c>
      <c r="AA96" s="27">
        <v>9.7087378640776691E-3</v>
      </c>
    </row>
    <row r="97" spans="5:27" x14ac:dyDescent="0.35">
      <c r="E97" s="17" t="s">
        <v>114</v>
      </c>
      <c r="F97">
        <v>2</v>
      </c>
      <c r="G97" s="27">
        <v>1.76522506619594E-3</v>
      </c>
      <c r="Y97" s="17" t="s">
        <v>567</v>
      </c>
      <c r="Z97">
        <v>14</v>
      </c>
      <c r="AA97" s="27">
        <v>1.2356575463371581E-2</v>
      </c>
    </row>
    <row r="98" spans="5:27" x14ac:dyDescent="0.35">
      <c r="E98" s="17" t="s">
        <v>367</v>
      </c>
      <c r="F98">
        <v>2</v>
      </c>
      <c r="G98" s="27">
        <v>1.76522506619594E-3</v>
      </c>
      <c r="Y98" s="17" t="s">
        <v>568</v>
      </c>
      <c r="Z98">
        <v>11</v>
      </c>
      <c r="AA98" s="27">
        <v>9.7087378640776691E-3</v>
      </c>
    </row>
    <row r="99" spans="5:27" x14ac:dyDescent="0.35">
      <c r="E99" s="17" t="s">
        <v>115</v>
      </c>
      <c r="F99">
        <v>2</v>
      </c>
      <c r="G99" s="27">
        <v>1.76522506619594E-3</v>
      </c>
      <c r="Y99" s="17" t="s">
        <v>569</v>
      </c>
      <c r="Z99">
        <v>6</v>
      </c>
      <c r="AA99" s="27">
        <v>5.2956751985878204E-3</v>
      </c>
    </row>
    <row r="100" spans="5:27" x14ac:dyDescent="0.35">
      <c r="E100" s="17" t="s">
        <v>418</v>
      </c>
      <c r="F100">
        <v>2</v>
      </c>
      <c r="G100" s="27">
        <v>1.76522506619594E-3</v>
      </c>
      <c r="Y100" s="17" t="s">
        <v>570</v>
      </c>
      <c r="Z100">
        <v>7</v>
      </c>
      <c r="AA100" s="27">
        <v>6.1782877316857903E-3</v>
      </c>
    </row>
    <row r="101" spans="5:27" x14ac:dyDescent="0.35">
      <c r="E101" s="17" t="s">
        <v>120</v>
      </c>
      <c r="F101">
        <v>2</v>
      </c>
      <c r="G101" s="27">
        <v>1.76522506619594E-3</v>
      </c>
      <c r="Y101" s="17" t="s">
        <v>571</v>
      </c>
      <c r="Z101">
        <v>14</v>
      </c>
      <c r="AA101" s="27">
        <v>1.2356575463371581E-2</v>
      </c>
    </row>
    <row r="102" spans="5:27" x14ac:dyDescent="0.35">
      <c r="E102" s="17" t="s">
        <v>450</v>
      </c>
      <c r="F102">
        <v>2</v>
      </c>
      <c r="G102" s="27">
        <v>1.76522506619594E-3</v>
      </c>
      <c r="Y102" s="17" t="s">
        <v>572</v>
      </c>
      <c r="Z102">
        <v>9</v>
      </c>
      <c r="AA102" s="27">
        <v>7.9435127978817292E-3</v>
      </c>
    </row>
    <row r="103" spans="5:27" x14ac:dyDescent="0.35">
      <c r="E103" s="17" t="s">
        <v>124</v>
      </c>
      <c r="F103">
        <v>2</v>
      </c>
      <c r="G103" s="27">
        <v>1.76522506619594E-3</v>
      </c>
      <c r="Y103" s="17" t="s">
        <v>573</v>
      </c>
      <c r="Z103">
        <v>11</v>
      </c>
      <c r="AA103" s="27">
        <v>9.7087378640776691E-3</v>
      </c>
    </row>
    <row r="104" spans="5:27" x14ac:dyDescent="0.35">
      <c r="E104" s="17" t="s">
        <v>255</v>
      </c>
      <c r="F104">
        <v>2</v>
      </c>
      <c r="G104" s="27">
        <v>1.76522506619594E-3</v>
      </c>
      <c r="Y104" s="17" t="s">
        <v>574</v>
      </c>
      <c r="Z104">
        <v>5</v>
      </c>
      <c r="AA104" s="27">
        <v>4.4130626654898496E-3</v>
      </c>
    </row>
    <row r="105" spans="5:27" x14ac:dyDescent="0.35">
      <c r="E105" s="17" t="s">
        <v>125</v>
      </c>
      <c r="F105">
        <v>2</v>
      </c>
      <c r="G105" s="27">
        <v>1.76522506619594E-3</v>
      </c>
      <c r="Y105" s="17" t="s">
        <v>575</v>
      </c>
      <c r="Z105">
        <v>4</v>
      </c>
      <c r="AA105" s="27">
        <v>3.5304501323918801E-3</v>
      </c>
    </row>
    <row r="106" spans="5:27" x14ac:dyDescent="0.35">
      <c r="E106" s="17" t="s">
        <v>270</v>
      </c>
      <c r="F106">
        <v>2</v>
      </c>
      <c r="G106" s="27">
        <v>1.76522506619594E-3</v>
      </c>
      <c r="Y106" s="17" t="s">
        <v>576</v>
      </c>
      <c r="Z106">
        <v>13</v>
      </c>
      <c r="AA106" s="27">
        <v>1.1473962930273611E-2</v>
      </c>
    </row>
    <row r="107" spans="5:27" x14ac:dyDescent="0.35">
      <c r="E107" s="17" t="s">
        <v>129</v>
      </c>
      <c r="F107">
        <v>2</v>
      </c>
      <c r="G107" s="27">
        <v>1.76522506619594E-3</v>
      </c>
      <c r="Y107" s="17" t="s">
        <v>577</v>
      </c>
      <c r="Z107">
        <v>6</v>
      </c>
      <c r="AA107" s="27">
        <v>5.2956751985878204E-3</v>
      </c>
    </row>
    <row r="108" spans="5:27" x14ac:dyDescent="0.35">
      <c r="E108" s="17" t="s">
        <v>65</v>
      </c>
      <c r="F108">
        <v>2</v>
      </c>
      <c r="G108" s="27">
        <v>1.76522506619594E-3</v>
      </c>
      <c r="Y108" s="17" t="s">
        <v>578</v>
      </c>
      <c r="Z108">
        <v>6</v>
      </c>
      <c r="AA108" s="27">
        <v>5.2956751985878204E-3</v>
      </c>
    </row>
    <row r="109" spans="5:27" x14ac:dyDescent="0.35">
      <c r="E109" s="17" t="s">
        <v>8</v>
      </c>
      <c r="F109">
        <v>2</v>
      </c>
      <c r="G109" s="27">
        <v>1.76522506619594E-3</v>
      </c>
      <c r="Y109" s="17" t="s">
        <v>579</v>
      </c>
      <c r="Z109">
        <v>6</v>
      </c>
      <c r="AA109" s="27">
        <v>5.2956751985878204E-3</v>
      </c>
    </row>
    <row r="110" spans="5:27" x14ac:dyDescent="0.35">
      <c r="E110" s="17" t="s">
        <v>301</v>
      </c>
      <c r="F110">
        <v>2</v>
      </c>
      <c r="G110" s="27">
        <v>1.76522506619594E-3</v>
      </c>
      <c r="Y110" s="17" t="s">
        <v>580</v>
      </c>
      <c r="Z110">
        <v>12</v>
      </c>
      <c r="AA110" s="27">
        <v>1.0591350397175641E-2</v>
      </c>
    </row>
    <row r="111" spans="5:27" x14ac:dyDescent="0.35">
      <c r="E111" s="17" t="s">
        <v>136</v>
      </c>
      <c r="F111">
        <v>2</v>
      </c>
      <c r="G111" s="27">
        <v>1.76522506619594E-3</v>
      </c>
      <c r="Y111" s="17" t="s">
        <v>581</v>
      </c>
      <c r="Z111">
        <v>4</v>
      </c>
      <c r="AA111" s="27">
        <v>3.5304501323918801E-3</v>
      </c>
    </row>
    <row r="112" spans="5:27" x14ac:dyDescent="0.35">
      <c r="E112" s="17" t="s">
        <v>327</v>
      </c>
      <c r="F112">
        <v>2</v>
      </c>
      <c r="G112" s="27">
        <v>1.76522506619594E-3</v>
      </c>
      <c r="Y112" s="17" t="s">
        <v>582</v>
      </c>
      <c r="Z112">
        <v>8</v>
      </c>
      <c r="AA112" s="27">
        <v>7.0609002647837602E-3</v>
      </c>
    </row>
    <row r="113" spans="5:27" x14ac:dyDescent="0.35">
      <c r="E113" s="17" t="s">
        <v>137</v>
      </c>
      <c r="F113">
        <v>2</v>
      </c>
      <c r="G113" s="27">
        <v>1.76522506619594E-3</v>
      </c>
      <c r="Y113" s="17" t="s">
        <v>583</v>
      </c>
      <c r="Z113">
        <v>12</v>
      </c>
      <c r="AA113" s="27">
        <v>1.0591350397175641E-2</v>
      </c>
    </row>
    <row r="114" spans="5:27" x14ac:dyDescent="0.35">
      <c r="E114" s="17" t="s">
        <v>348</v>
      </c>
      <c r="F114">
        <v>2</v>
      </c>
      <c r="G114" s="27">
        <v>1.76522506619594E-3</v>
      </c>
      <c r="Y114" s="17" t="s">
        <v>584</v>
      </c>
      <c r="Z114">
        <v>10</v>
      </c>
      <c r="AA114" s="27">
        <v>8.8261253309796991E-3</v>
      </c>
    </row>
    <row r="115" spans="5:27" x14ac:dyDescent="0.35">
      <c r="E115" s="17" t="s">
        <v>138</v>
      </c>
      <c r="F115">
        <v>2</v>
      </c>
      <c r="G115" s="27">
        <v>1.76522506619594E-3</v>
      </c>
      <c r="Y115" s="17" t="s">
        <v>585</v>
      </c>
      <c r="Z115">
        <v>7</v>
      </c>
      <c r="AA115" s="27">
        <v>6.1782877316857903E-3</v>
      </c>
    </row>
    <row r="116" spans="5:27" x14ac:dyDescent="0.35">
      <c r="E116" s="17" t="s">
        <v>364</v>
      </c>
      <c r="F116">
        <v>2</v>
      </c>
      <c r="G116" s="27">
        <v>1.76522506619594E-3</v>
      </c>
      <c r="Y116" s="17" t="s">
        <v>586</v>
      </c>
      <c r="Z116">
        <v>11</v>
      </c>
      <c r="AA116" s="27">
        <v>9.7087378640776691E-3</v>
      </c>
    </row>
    <row r="117" spans="5:27" x14ac:dyDescent="0.35">
      <c r="E117" s="17" t="s">
        <v>139</v>
      </c>
      <c r="F117">
        <v>2</v>
      </c>
      <c r="G117" s="27">
        <v>1.76522506619594E-3</v>
      </c>
      <c r="Y117" s="17" t="s">
        <v>587</v>
      </c>
      <c r="Z117">
        <v>6</v>
      </c>
      <c r="AA117" s="27">
        <v>5.2956751985878204E-3</v>
      </c>
    </row>
    <row r="118" spans="5:27" x14ac:dyDescent="0.35">
      <c r="E118" s="17" t="s">
        <v>369</v>
      </c>
      <c r="F118">
        <v>2</v>
      </c>
      <c r="G118" s="27">
        <v>1.76522506619594E-3</v>
      </c>
      <c r="Y118" s="17" t="s">
        <v>588</v>
      </c>
      <c r="Z118">
        <v>12</v>
      </c>
      <c r="AA118" s="27">
        <v>1.0591350397175641E-2</v>
      </c>
    </row>
    <row r="119" spans="5:27" x14ac:dyDescent="0.35">
      <c r="E119" s="17" t="s">
        <v>141</v>
      </c>
      <c r="F119">
        <v>2</v>
      </c>
      <c r="G119" s="27">
        <v>1.76522506619594E-3</v>
      </c>
      <c r="Y119" s="17" t="s">
        <v>589</v>
      </c>
      <c r="Z119">
        <v>5</v>
      </c>
      <c r="AA119" s="27">
        <v>4.4130626654898496E-3</v>
      </c>
    </row>
    <row r="120" spans="5:27" x14ac:dyDescent="0.35">
      <c r="E120" s="17" t="s">
        <v>409</v>
      </c>
      <c r="F120">
        <v>2</v>
      </c>
      <c r="G120" s="27">
        <v>1.76522506619594E-3</v>
      </c>
      <c r="Y120" s="17" t="s">
        <v>590</v>
      </c>
      <c r="Z120">
        <v>5</v>
      </c>
      <c r="AA120" s="27">
        <v>4.4130626654898496E-3</v>
      </c>
    </row>
    <row r="121" spans="5:27" x14ac:dyDescent="0.35">
      <c r="E121" s="17" t="s">
        <v>144</v>
      </c>
      <c r="F121">
        <v>2</v>
      </c>
      <c r="G121" s="27">
        <v>1.76522506619594E-3</v>
      </c>
      <c r="Y121" s="17" t="s">
        <v>591</v>
      </c>
      <c r="Z121">
        <v>6</v>
      </c>
      <c r="AA121" s="27">
        <v>5.2956751985878204E-3</v>
      </c>
    </row>
    <row r="122" spans="5:27" x14ac:dyDescent="0.35">
      <c r="E122" s="17" t="s">
        <v>422</v>
      </c>
      <c r="F122">
        <v>2</v>
      </c>
      <c r="G122" s="27">
        <v>1.76522506619594E-3</v>
      </c>
      <c r="Y122" s="17" t="s">
        <v>592</v>
      </c>
      <c r="Z122">
        <v>4</v>
      </c>
      <c r="AA122" s="27">
        <v>3.5304501323918801E-3</v>
      </c>
    </row>
    <row r="123" spans="5:27" x14ac:dyDescent="0.35">
      <c r="E123" s="17" t="s">
        <v>147</v>
      </c>
      <c r="F123">
        <v>2</v>
      </c>
      <c r="G123" s="27">
        <v>1.76522506619594E-3</v>
      </c>
      <c r="Y123" s="17" t="s">
        <v>593</v>
      </c>
      <c r="Z123">
        <v>6</v>
      </c>
      <c r="AA123" s="27">
        <v>5.2956751985878204E-3</v>
      </c>
    </row>
    <row r="124" spans="5:27" x14ac:dyDescent="0.35">
      <c r="E124" s="17" t="s">
        <v>440</v>
      </c>
      <c r="F124">
        <v>2</v>
      </c>
      <c r="G124" s="27">
        <v>1.76522506619594E-3</v>
      </c>
      <c r="Y124" s="17" t="s">
        <v>594</v>
      </c>
      <c r="Z124">
        <v>4</v>
      </c>
      <c r="AA124" s="27">
        <v>3.5304501323918801E-3</v>
      </c>
    </row>
    <row r="125" spans="5:27" x14ac:dyDescent="0.35">
      <c r="E125" s="17" t="s">
        <v>154</v>
      </c>
      <c r="F125">
        <v>2</v>
      </c>
      <c r="G125" s="27">
        <v>1.76522506619594E-3</v>
      </c>
      <c r="Y125" s="17" t="s">
        <v>595</v>
      </c>
      <c r="Z125">
        <v>5</v>
      </c>
      <c r="AA125" s="27">
        <v>4.4130626654898496E-3</v>
      </c>
    </row>
    <row r="126" spans="5:27" x14ac:dyDescent="0.35">
      <c r="E126" s="17" t="s">
        <v>245</v>
      </c>
      <c r="F126">
        <v>2</v>
      </c>
      <c r="G126" s="27">
        <v>1.76522506619594E-3</v>
      </c>
      <c r="Y126" s="17" t="s">
        <v>596</v>
      </c>
      <c r="Z126">
        <v>8</v>
      </c>
      <c r="AA126" s="27">
        <v>7.0609002647837602E-3</v>
      </c>
    </row>
    <row r="127" spans="5:27" x14ac:dyDescent="0.35">
      <c r="E127" s="17" t="s">
        <v>39</v>
      </c>
      <c r="F127">
        <v>2</v>
      </c>
      <c r="G127" s="27">
        <v>1.76522506619594E-3</v>
      </c>
      <c r="Y127" s="17" t="s">
        <v>597</v>
      </c>
      <c r="Z127">
        <v>4</v>
      </c>
      <c r="AA127" s="27">
        <v>3.5304501323918801E-3</v>
      </c>
    </row>
    <row r="128" spans="5:27" x14ac:dyDescent="0.35">
      <c r="E128" s="17" t="s">
        <v>252</v>
      </c>
      <c r="F128">
        <v>2</v>
      </c>
      <c r="G128" s="27">
        <v>1.76522506619594E-3</v>
      </c>
      <c r="Y128" s="17" t="s">
        <v>598</v>
      </c>
      <c r="Z128">
        <v>3</v>
      </c>
      <c r="AA128" s="27">
        <v>2.6478375992939102E-3</v>
      </c>
    </row>
    <row r="129" spans="5:27" x14ac:dyDescent="0.35">
      <c r="E129" s="17" t="s">
        <v>41</v>
      </c>
      <c r="F129">
        <v>2</v>
      </c>
      <c r="G129" s="27">
        <v>1.76522506619594E-3</v>
      </c>
      <c r="Y129" s="17" t="s">
        <v>599</v>
      </c>
      <c r="Z129">
        <v>6</v>
      </c>
      <c r="AA129" s="27">
        <v>5.2956751985878204E-3</v>
      </c>
    </row>
    <row r="130" spans="5:27" x14ac:dyDescent="0.35">
      <c r="E130" s="17" t="s">
        <v>60</v>
      </c>
      <c r="F130">
        <v>2</v>
      </c>
      <c r="G130" s="27">
        <v>1.76522506619594E-3</v>
      </c>
      <c r="Y130" s="17" t="s">
        <v>600</v>
      </c>
      <c r="Z130">
        <v>9</v>
      </c>
      <c r="AA130" s="27">
        <v>7.9435127978817292E-3</v>
      </c>
    </row>
    <row r="131" spans="5:27" x14ac:dyDescent="0.35">
      <c r="E131" s="17" t="s">
        <v>159</v>
      </c>
      <c r="F131">
        <v>2</v>
      </c>
      <c r="G131" s="27">
        <v>1.76522506619594E-3</v>
      </c>
      <c r="Y131" s="17" t="s">
        <v>601</v>
      </c>
      <c r="Z131">
        <v>2</v>
      </c>
      <c r="AA131" s="27">
        <v>1.76522506619594E-3</v>
      </c>
    </row>
    <row r="132" spans="5:27" x14ac:dyDescent="0.35">
      <c r="E132" s="17" t="s">
        <v>268</v>
      </c>
      <c r="F132">
        <v>2</v>
      </c>
      <c r="G132" s="27">
        <v>1.76522506619594E-3</v>
      </c>
      <c r="Y132" s="17" t="s">
        <v>602</v>
      </c>
      <c r="Z132">
        <v>10</v>
      </c>
      <c r="AA132" s="27">
        <v>8.8261253309796991E-3</v>
      </c>
    </row>
    <row r="133" spans="5:27" x14ac:dyDescent="0.35">
      <c r="E133" s="17" t="s">
        <v>42</v>
      </c>
      <c r="F133">
        <v>2</v>
      </c>
      <c r="G133" s="27">
        <v>1.76522506619594E-3</v>
      </c>
      <c r="Y133" s="17" t="s">
        <v>603</v>
      </c>
      <c r="Z133">
        <v>5</v>
      </c>
      <c r="AA133" s="27">
        <v>4.4130626654898496E-3</v>
      </c>
    </row>
    <row r="134" spans="5:27" x14ac:dyDescent="0.35">
      <c r="E134" s="17" t="s">
        <v>61</v>
      </c>
      <c r="F134">
        <v>2</v>
      </c>
      <c r="G134" s="27">
        <v>1.76522506619594E-3</v>
      </c>
      <c r="Y134" s="17" t="s">
        <v>604</v>
      </c>
      <c r="Z134">
        <v>11</v>
      </c>
      <c r="AA134" s="27">
        <v>9.7087378640776691E-3</v>
      </c>
    </row>
    <row r="135" spans="5:27" x14ac:dyDescent="0.35">
      <c r="E135" s="17" t="s">
        <v>163</v>
      </c>
      <c r="F135">
        <v>2</v>
      </c>
      <c r="G135" s="27">
        <v>1.76522506619594E-3</v>
      </c>
      <c r="Y135" s="17" t="s">
        <v>605</v>
      </c>
      <c r="Z135">
        <v>5</v>
      </c>
      <c r="AA135" s="27">
        <v>4.4130626654898496E-3</v>
      </c>
    </row>
    <row r="136" spans="5:27" x14ac:dyDescent="0.35">
      <c r="E136" s="17" t="s">
        <v>275</v>
      </c>
      <c r="F136">
        <v>2</v>
      </c>
      <c r="G136" s="27">
        <v>1.76522506619594E-3</v>
      </c>
      <c r="Y136" s="17" t="s">
        <v>606</v>
      </c>
      <c r="Z136">
        <v>5</v>
      </c>
      <c r="AA136" s="27">
        <v>4.4130626654898496E-3</v>
      </c>
    </row>
    <row r="137" spans="5:27" x14ac:dyDescent="0.35">
      <c r="E137" s="17" t="s">
        <v>165</v>
      </c>
      <c r="F137">
        <v>2</v>
      </c>
      <c r="G137" s="27">
        <v>1.76522506619594E-3</v>
      </c>
      <c r="Y137" s="17" t="s">
        <v>607</v>
      </c>
      <c r="Z137">
        <v>3</v>
      </c>
      <c r="AA137" s="27">
        <v>2.6478375992939102E-3</v>
      </c>
    </row>
    <row r="138" spans="5:27" x14ac:dyDescent="0.35">
      <c r="E138" s="17" t="s">
        <v>296</v>
      </c>
      <c r="F138">
        <v>2</v>
      </c>
      <c r="G138" s="27">
        <v>1.76522506619594E-3</v>
      </c>
      <c r="Y138" s="17" t="s">
        <v>608</v>
      </c>
      <c r="Z138">
        <v>4</v>
      </c>
      <c r="AA138" s="27">
        <v>3.5304501323918801E-3</v>
      </c>
    </row>
    <row r="139" spans="5:27" x14ac:dyDescent="0.35">
      <c r="E139" s="17" t="s">
        <v>46</v>
      </c>
      <c r="F139">
        <v>2</v>
      </c>
      <c r="G139" s="27">
        <v>1.76522506619594E-3</v>
      </c>
      <c r="Y139" s="17" t="s">
        <v>609</v>
      </c>
      <c r="Z139">
        <v>5</v>
      </c>
      <c r="AA139" s="27">
        <v>4.4130626654898496E-3</v>
      </c>
    </row>
    <row r="140" spans="5:27" x14ac:dyDescent="0.35">
      <c r="E140" s="17" t="s">
        <v>299</v>
      </c>
      <c r="F140">
        <v>2</v>
      </c>
      <c r="G140" s="27">
        <v>1.76522506619594E-3</v>
      </c>
      <c r="Y140" s="17" t="s">
        <v>610</v>
      </c>
      <c r="Z140">
        <v>2</v>
      </c>
      <c r="AA140" s="27">
        <v>1.76522506619594E-3</v>
      </c>
    </row>
    <row r="141" spans="5:27" x14ac:dyDescent="0.35">
      <c r="E141" s="17" t="s">
        <v>172</v>
      </c>
      <c r="F141">
        <v>2</v>
      </c>
      <c r="G141" s="27">
        <v>1.76522506619594E-3</v>
      </c>
      <c r="Y141" s="17" t="s">
        <v>611</v>
      </c>
      <c r="Z141">
        <v>6</v>
      </c>
      <c r="AA141" s="27">
        <v>5.2956751985878204E-3</v>
      </c>
    </row>
    <row r="142" spans="5:27" x14ac:dyDescent="0.35">
      <c r="E142" s="17" t="s">
        <v>309</v>
      </c>
      <c r="F142">
        <v>2</v>
      </c>
      <c r="G142" s="27">
        <v>1.76522506619594E-3</v>
      </c>
      <c r="Y142" s="17" t="s">
        <v>612</v>
      </c>
      <c r="Z142">
        <v>1</v>
      </c>
      <c r="AA142" s="27">
        <v>8.8261253309797002E-4</v>
      </c>
    </row>
    <row r="143" spans="5:27" x14ac:dyDescent="0.35">
      <c r="E143" s="17" t="s">
        <v>179</v>
      </c>
      <c r="F143">
        <v>2</v>
      </c>
      <c r="G143" s="27">
        <v>1.76522506619594E-3</v>
      </c>
      <c r="Y143" s="17" t="s">
        <v>613</v>
      </c>
      <c r="Z143">
        <v>2</v>
      </c>
      <c r="AA143" s="27">
        <v>1.76522506619594E-3</v>
      </c>
    </row>
    <row r="144" spans="5:27" x14ac:dyDescent="0.35">
      <c r="E144" s="17" t="s">
        <v>72</v>
      </c>
      <c r="F144">
        <v>2</v>
      </c>
      <c r="G144" s="27">
        <v>1.76522506619594E-3</v>
      </c>
      <c r="Y144" s="17" t="s">
        <v>614</v>
      </c>
      <c r="Z144">
        <v>1</v>
      </c>
      <c r="AA144" s="27">
        <v>8.8261253309797002E-4</v>
      </c>
    </row>
    <row r="145" spans="5:27" x14ac:dyDescent="0.35">
      <c r="E145" s="17" t="s">
        <v>180</v>
      </c>
      <c r="F145">
        <v>2</v>
      </c>
      <c r="G145" s="27">
        <v>1.76522506619594E-3</v>
      </c>
      <c r="Y145" s="17" t="s">
        <v>615</v>
      </c>
      <c r="Z145">
        <v>11</v>
      </c>
      <c r="AA145" s="27">
        <v>9.7087378640776691E-3</v>
      </c>
    </row>
    <row r="146" spans="5:27" x14ac:dyDescent="0.35">
      <c r="E146" s="17" t="s">
        <v>328</v>
      </c>
      <c r="F146">
        <v>2</v>
      </c>
      <c r="G146" s="27">
        <v>1.76522506619594E-3</v>
      </c>
      <c r="Y146" s="17" t="s">
        <v>616</v>
      </c>
      <c r="Z146">
        <v>8</v>
      </c>
      <c r="AA146" s="27">
        <v>7.0609002647837602E-3</v>
      </c>
    </row>
    <row r="147" spans="5:27" x14ac:dyDescent="0.35">
      <c r="E147" s="17" t="s">
        <v>186</v>
      </c>
      <c r="F147">
        <v>2</v>
      </c>
      <c r="G147" s="27">
        <v>1.76522506619594E-3</v>
      </c>
      <c r="Y147" s="17" t="s">
        <v>617</v>
      </c>
      <c r="Z147">
        <v>7</v>
      </c>
      <c r="AA147" s="27">
        <v>6.1782877316857903E-3</v>
      </c>
    </row>
    <row r="148" spans="5:27" x14ac:dyDescent="0.35">
      <c r="E148" s="17" t="s">
        <v>343</v>
      </c>
      <c r="F148">
        <v>2</v>
      </c>
      <c r="G148" s="27">
        <v>1.76522506619594E-3</v>
      </c>
      <c r="Y148" s="17" t="s">
        <v>618</v>
      </c>
      <c r="Z148">
        <v>4</v>
      </c>
      <c r="AA148" s="27">
        <v>3.5304501323918801E-3</v>
      </c>
    </row>
    <row r="149" spans="5:27" x14ac:dyDescent="0.35">
      <c r="E149" s="17" t="s">
        <v>189</v>
      </c>
      <c r="F149">
        <v>2</v>
      </c>
      <c r="G149" s="27">
        <v>1.76522506619594E-3</v>
      </c>
      <c r="Y149" s="17" t="s">
        <v>619</v>
      </c>
      <c r="Z149">
        <v>4</v>
      </c>
      <c r="AA149" s="27">
        <v>3.5304501323918801E-3</v>
      </c>
    </row>
    <row r="150" spans="5:27" x14ac:dyDescent="0.35">
      <c r="E150" s="17" t="s">
        <v>349</v>
      </c>
      <c r="F150">
        <v>2</v>
      </c>
      <c r="G150" s="27">
        <v>1.76522506619594E-3</v>
      </c>
      <c r="Y150" s="17" t="s">
        <v>620</v>
      </c>
      <c r="Z150">
        <v>12</v>
      </c>
      <c r="AA150" s="27">
        <v>1.0591350397175641E-2</v>
      </c>
    </row>
    <row r="151" spans="5:27" x14ac:dyDescent="0.35">
      <c r="E151" s="17" t="s">
        <v>191</v>
      </c>
      <c r="F151">
        <v>2</v>
      </c>
      <c r="G151" s="27">
        <v>1.76522506619594E-3</v>
      </c>
      <c r="Y151" s="17" t="s">
        <v>621</v>
      </c>
      <c r="Z151">
        <v>12</v>
      </c>
      <c r="AA151" s="27">
        <v>1.0591350397175641E-2</v>
      </c>
    </row>
    <row r="152" spans="5:27" x14ac:dyDescent="0.35">
      <c r="E152" s="17" t="s">
        <v>361</v>
      </c>
      <c r="F152">
        <v>2</v>
      </c>
      <c r="G152" s="27">
        <v>1.76522506619594E-3</v>
      </c>
      <c r="Y152" s="17" t="s">
        <v>622</v>
      </c>
      <c r="Z152">
        <v>10</v>
      </c>
      <c r="AA152" s="27">
        <v>8.8261253309796991E-3</v>
      </c>
    </row>
    <row r="153" spans="5:27" x14ac:dyDescent="0.35">
      <c r="E153" s="17" t="s">
        <v>192</v>
      </c>
      <c r="F153">
        <v>2</v>
      </c>
      <c r="G153" s="27">
        <v>1.76522506619594E-3</v>
      </c>
      <c r="Y153" s="17" t="s">
        <v>623</v>
      </c>
      <c r="Z153">
        <v>16</v>
      </c>
      <c r="AA153" s="27">
        <v>1.412180052956752E-2</v>
      </c>
    </row>
    <row r="154" spans="5:27" x14ac:dyDescent="0.35">
      <c r="E154" s="17" t="s">
        <v>365</v>
      </c>
      <c r="F154">
        <v>2</v>
      </c>
      <c r="G154" s="27">
        <v>1.76522506619594E-3</v>
      </c>
      <c r="Y154" s="17" t="s">
        <v>624</v>
      </c>
      <c r="Z154">
        <v>13</v>
      </c>
      <c r="AA154" s="27">
        <v>1.1473962930273611E-2</v>
      </c>
    </row>
    <row r="155" spans="5:27" x14ac:dyDescent="0.35">
      <c r="E155" s="17" t="s">
        <v>193</v>
      </c>
      <c r="F155">
        <v>2</v>
      </c>
      <c r="G155" s="27">
        <v>1.76522506619594E-3</v>
      </c>
      <c r="Y155" s="17" t="s">
        <v>625</v>
      </c>
      <c r="Z155">
        <v>3</v>
      </c>
      <c r="AA155" s="27">
        <v>2.6478375992939102E-3</v>
      </c>
    </row>
    <row r="156" spans="5:27" x14ac:dyDescent="0.35">
      <c r="E156" s="17" t="s">
        <v>368</v>
      </c>
      <c r="F156">
        <v>2</v>
      </c>
      <c r="G156" s="27">
        <v>1.76522506619594E-3</v>
      </c>
      <c r="Y156" s="17" t="s">
        <v>626</v>
      </c>
      <c r="Z156">
        <v>11</v>
      </c>
      <c r="AA156" s="27">
        <v>9.7087378640776691E-3</v>
      </c>
    </row>
    <row r="157" spans="5:27" x14ac:dyDescent="0.35">
      <c r="E157" s="17" t="s">
        <v>196</v>
      </c>
      <c r="F157">
        <v>2</v>
      </c>
      <c r="G157" s="27">
        <v>1.76522506619594E-3</v>
      </c>
      <c r="Y157" s="17" t="s">
        <v>627</v>
      </c>
      <c r="Z157">
        <v>24</v>
      </c>
      <c r="AA157" s="27">
        <v>2.1182700794351281E-2</v>
      </c>
    </row>
    <row r="158" spans="5:27" x14ac:dyDescent="0.35">
      <c r="E158" s="17" t="s">
        <v>79</v>
      </c>
      <c r="F158">
        <v>2</v>
      </c>
      <c r="G158" s="27">
        <v>1.76522506619594E-3</v>
      </c>
      <c r="Y158" s="17" t="s">
        <v>628</v>
      </c>
      <c r="Z158">
        <v>22</v>
      </c>
      <c r="AA158" s="27">
        <v>1.9417475728155338E-2</v>
      </c>
    </row>
    <row r="159" spans="5:27" x14ac:dyDescent="0.35">
      <c r="E159" s="17" t="s">
        <v>49</v>
      </c>
      <c r="F159">
        <v>2</v>
      </c>
      <c r="G159" s="27">
        <v>1.76522506619594E-3</v>
      </c>
      <c r="Y159" s="17" t="s">
        <v>465</v>
      </c>
      <c r="Z159">
        <v>1133</v>
      </c>
      <c r="AA159" s="27">
        <v>1</v>
      </c>
    </row>
    <row r="160" spans="5:27" x14ac:dyDescent="0.35">
      <c r="E160" s="17" t="s">
        <v>400</v>
      </c>
      <c r="F160">
        <v>2</v>
      </c>
      <c r="G160" s="27">
        <v>1.76522506619594E-3</v>
      </c>
    </row>
    <row r="161" spans="5:7" x14ac:dyDescent="0.35">
      <c r="E161" s="17" t="s">
        <v>211</v>
      </c>
      <c r="F161">
        <v>2</v>
      </c>
      <c r="G161" s="27">
        <v>1.76522506619594E-3</v>
      </c>
    </row>
    <row r="162" spans="5:7" x14ac:dyDescent="0.35">
      <c r="E162" s="17" t="s">
        <v>415</v>
      </c>
      <c r="F162">
        <v>2</v>
      </c>
      <c r="G162" s="27">
        <v>1.76522506619594E-3</v>
      </c>
    </row>
    <row r="163" spans="5:7" x14ac:dyDescent="0.35">
      <c r="E163" s="17" t="s">
        <v>221</v>
      </c>
      <c r="F163">
        <v>2</v>
      </c>
      <c r="G163" s="27">
        <v>1.76522506619594E-3</v>
      </c>
    </row>
    <row r="164" spans="5:7" x14ac:dyDescent="0.35">
      <c r="E164" s="17" t="s">
        <v>421</v>
      </c>
      <c r="F164">
        <v>2</v>
      </c>
      <c r="G164" s="27">
        <v>1.76522506619594E-3</v>
      </c>
    </row>
    <row r="165" spans="5:7" x14ac:dyDescent="0.35">
      <c r="E165" s="17" t="s">
        <v>223</v>
      </c>
      <c r="F165">
        <v>2</v>
      </c>
      <c r="G165" s="27">
        <v>1.76522506619594E-3</v>
      </c>
    </row>
    <row r="166" spans="5:7" x14ac:dyDescent="0.35">
      <c r="E166" s="17" t="s">
        <v>430</v>
      </c>
      <c r="F166">
        <v>2</v>
      </c>
      <c r="G166" s="27">
        <v>1.76522506619594E-3</v>
      </c>
    </row>
    <row r="167" spans="5:7" x14ac:dyDescent="0.35">
      <c r="E167" s="17" t="s">
        <v>226</v>
      </c>
      <c r="F167">
        <v>2</v>
      </c>
      <c r="G167" s="27">
        <v>1.76522506619594E-3</v>
      </c>
    </row>
    <row r="168" spans="5:7" x14ac:dyDescent="0.35">
      <c r="E168" s="17" t="s">
        <v>437</v>
      </c>
      <c r="F168">
        <v>2</v>
      </c>
      <c r="G168" s="27">
        <v>1.76522506619594E-3</v>
      </c>
    </row>
    <row r="169" spans="5:7" x14ac:dyDescent="0.35">
      <c r="E169" s="17" t="s">
        <v>56</v>
      </c>
      <c r="F169">
        <v>2</v>
      </c>
      <c r="G169" s="27">
        <v>1.76522506619594E-3</v>
      </c>
    </row>
    <row r="170" spans="5:7" x14ac:dyDescent="0.35">
      <c r="E170" s="17" t="s">
        <v>447</v>
      </c>
      <c r="F170">
        <v>2</v>
      </c>
      <c r="G170" s="27">
        <v>1.76522506619594E-3</v>
      </c>
    </row>
    <row r="171" spans="5:7" x14ac:dyDescent="0.35">
      <c r="E171" s="17" t="s">
        <v>57</v>
      </c>
      <c r="F171">
        <v>2</v>
      </c>
      <c r="G171" s="27">
        <v>1.76522506619594E-3</v>
      </c>
    </row>
    <row r="172" spans="5:7" x14ac:dyDescent="0.35">
      <c r="E172" s="17" t="s">
        <v>451</v>
      </c>
      <c r="F172">
        <v>2</v>
      </c>
      <c r="G172" s="27">
        <v>1.76522506619594E-3</v>
      </c>
    </row>
    <row r="173" spans="5:7" x14ac:dyDescent="0.35">
      <c r="E173" s="17" t="s">
        <v>235</v>
      </c>
      <c r="F173">
        <v>2</v>
      </c>
      <c r="G173" s="27">
        <v>1.76522506619594E-3</v>
      </c>
    </row>
    <row r="174" spans="5:7" x14ac:dyDescent="0.35">
      <c r="E174" s="17" t="s">
        <v>62</v>
      </c>
      <c r="F174">
        <v>2</v>
      </c>
      <c r="G174" s="27">
        <v>1.76522506619594E-3</v>
      </c>
    </row>
    <row r="175" spans="5:7" x14ac:dyDescent="0.35">
      <c r="E175" s="17" t="s">
        <v>436</v>
      </c>
      <c r="F175">
        <v>1</v>
      </c>
      <c r="G175" s="27">
        <v>8.8261253309797002E-4</v>
      </c>
    </row>
    <row r="176" spans="5:7" x14ac:dyDescent="0.35">
      <c r="E176" s="17" t="s">
        <v>372</v>
      </c>
      <c r="F176">
        <v>1</v>
      </c>
      <c r="G176" s="27">
        <v>8.8261253309797002E-4</v>
      </c>
    </row>
    <row r="177" spans="5:7" x14ac:dyDescent="0.35">
      <c r="E177" s="17" t="s">
        <v>340</v>
      </c>
      <c r="F177">
        <v>1</v>
      </c>
      <c r="G177" s="27">
        <v>8.8261253309797002E-4</v>
      </c>
    </row>
    <row r="178" spans="5:7" x14ac:dyDescent="0.35">
      <c r="E178" s="17" t="s">
        <v>182</v>
      </c>
      <c r="F178">
        <v>1</v>
      </c>
      <c r="G178" s="27">
        <v>8.8261253309797002E-4</v>
      </c>
    </row>
    <row r="179" spans="5:7" x14ac:dyDescent="0.35">
      <c r="E179" s="17" t="s">
        <v>404</v>
      </c>
      <c r="F179">
        <v>1</v>
      </c>
      <c r="G179" s="27">
        <v>8.8261253309797002E-4</v>
      </c>
    </row>
    <row r="180" spans="5:7" x14ac:dyDescent="0.35">
      <c r="E180" s="17" t="s">
        <v>183</v>
      </c>
      <c r="F180">
        <v>1</v>
      </c>
      <c r="G180" s="27">
        <v>8.8261253309797002E-4</v>
      </c>
    </row>
    <row r="181" spans="5:7" x14ac:dyDescent="0.35">
      <c r="E181" s="17" t="s">
        <v>324</v>
      </c>
      <c r="F181">
        <v>1</v>
      </c>
      <c r="G181" s="27">
        <v>8.8261253309797002E-4</v>
      </c>
    </row>
    <row r="182" spans="5:7" x14ac:dyDescent="0.35">
      <c r="E182" s="17" t="s">
        <v>184</v>
      </c>
      <c r="F182">
        <v>1</v>
      </c>
      <c r="G182" s="27">
        <v>8.8261253309797002E-4</v>
      </c>
    </row>
    <row r="183" spans="5:7" x14ac:dyDescent="0.35">
      <c r="E183" s="17" t="s">
        <v>356</v>
      </c>
      <c r="F183">
        <v>1</v>
      </c>
      <c r="G183" s="27">
        <v>8.8261253309797002E-4</v>
      </c>
    </row>
    <row r="184" spans="5:7" x14ac:dyDescent="0.35">
      <c r="E184" s="17" t="s">
        <v>185</v>
      </c>
      <c r="F184">
        <v>1</v>
      </c>
      <c r="G184" s="27">
        <v>8.8261253309797002E-4</v>
      </c>
    </row>
    <row r="185" spans="5:7" x14ac:dyDescent="0.35">
      <c r="E185" s="17" t="s">
        <v>388</v>
      </c>
      <c r="F185">
        <v>1</v>
      </c>
      <c r="G185" s="27">
        <v>8.8261253309797002E-4</v>
      </c>
    </row>
    <row r="186" spans="5:7" x14ac:dyDescent="0.35">
      <c r="E186" s="17" t="s">
        <v>97</v>
      </c>
      <c r="F186">
        <v>1</v>
      </c>
      <c r="G186" s="27">
        <v>8.8261253309797002E-4</v>
      </c>
    </row>
    <row r="187" spans="5:7" x14ac:dyDescent="0.35">
      <c r="E187" s="17" t="s">
        <v>420</v>
      </c>
      <c r="F187">
        <v>1</v>
      </c>
      <c r="G187" s="27">
        <v>8.8261253309797002E-4</v>
      </c>
    </row>
    <row r="188" spans="5:7" x14ac:dyDescent="0.35">
      <c r="E188" s="17" t="s">
        <v>187</v>
      </c>
      <c r="F188">
        <v>1</v>
      </c>
      <c r="G188" s="27">
        <v>8.8261253309797002E-4</v>
      </c>
    </row>
    <row r="189" spans="5:7" x14ac:dyDescent="0.35">
      <c r="E189" s="17" t="s">
        <v>452</v>
      </c>
      <c r="F189">
        <v>1</v>
      </c>
      <c r="G189" s="27">
        <v>8.8261253309797002E-4</v>
      </c>
    </row>
    <row r="190" spans="5:7" x14ac:dyDescent="0.35">
      <c r="E190" s="17" t="s">
        <v>188</v>
      </c>
      <c r="F190">
        <v>1</v>
      </c>
      <c r="G190" s="27">
        <v>8.8261253309797002E-4</v>
      </c>
    </row>
    <row r="191" spans="5:7" x14ac:dyDescent="0.35">
      <c r="E191" s="17" t="s">
        <v>332</v>
      </c>
      <c r="F191">
        <v>1</v>
      </c>
      <c r="G191" s="27">
        <v>8.8261253309797002E-4</v>
      </c>
    </row>
    <row r="192" spans="5:7" x14ac:dyDescent="0.35">
      <c r="E192" s="17" t="s">
        <v>121</v>
      </c>
      <c r="F192">
        <v>1</v>
      </c>
      <c r="G192" s="27">
        <v>8.8261253309797002E-4</v>
      </c>
    </row>
    <row r="193" spans="5:7" x14ac:dyDescent="0.35">
      <c r="E193" s="17" t="s">
        <v>33</v>
      </c>
      <c r="F193">
        <v>1</v>
      </c>
      <c r="G193" s="27">
        <v>8.8261253309797002E-4</v>
      </c>
    </row>
    <row r="194" spans="5:7" x14ac:dyDescent="0.35">
      <c r="E194" s="17" t="s">
        <v>190</v>
      </c>
      <c r="F194">
        <v>1</v>
      </c>
      <c r="G194" s="27">
        <v>8.8261253309797002E-4</v>
      </c>
    </row>
    <row r="195" spans="5:7" x14ac:dyDescent="0.35">
      <c r="E195" s="17" t="s">
        <v>161</v>
      </c>
      <c r="F195">
        <v>1</v>
      </c>
      <c r="G195" s="27">
        <v>8.8261253309797002E-4</v>
      </c>
    </row>
    <row r="196" spans="5:7" x14ac:dyDescent="0.35">
      <c r="E196" s="17" t="s">
        <v>122</v>
      </c>
      <c r="F196">
        <v>1</v>
      </c>
      <c r="G196" s="27">
        <v>8.8261253309797002E-4</v>
      </c>
    </row>
    <row r="197" spans="5:7" x14ac:dyDescent="0.35">
      <c r="E197" s="17" t="s">
        <v>380</v>
      </c>
      <c r="F197">
        <v>1</v>
      </c>
      <c r="G197" s="27">
        <v>8.8261253309797002E-4</v>
      </c>
    </row>
    <row r="198" spans="5:7" x14ac:dyDescent="0.35">
      <c r="E198" s="17" t="s">
        <v>123</v>
      </c>
      <c r="F198">
        <v>1</v>
      </c>
      <c r="G198" s="27">
        <v>8.8261253309797002E-4</v>
      </c>
    </row>
    <row r="199" spans="5:7" x14ac:dyDescent="0.35">
      <c r="E199" s="17" t="s">
        <v>396</v>
      </c>
      <c r="F199">
        <v>1</v>
      </c>
      <c r="G199" s="27">
        <v>8.8261253309797002E-4</v>
      </c>
    </row>
    <row r="200" spans="5:7" x14ac:dyDescent="0.35">
      <c r="E200" s="17" t="s">
        <v>98</v>
      </c>
      <c r="F200">
        <v>1</v>
      </c>
      <c r="G200" s="27">
        <v>8.8261253309797002E-4</v>
      </c>
    </row>
    <row r="201" spans="5:7" x14ac:dyDescent="0.35">
      <c r="E201" s="17" t="s">
        <v>412</v>
      </c>
      <c r="F201">
        <v>1</v>
      </c>
      <c r="G201" s="27">
        <v>8.8261253309797002E-4</v>
      </c>
    </row>
    <row r="202" spans="5:7" x14ac:dyDescent="0.35">
      <c r="E202" s="17" t="s">
        <v>48</v>
      </c>
      <c r="F202">
        <v>1</v>
      </c>
      <c r="G202" s="27">
        <v>8.8261253309797002E-4</v>
      </c>
    </row>
    <row r="203" spans="5:7" x14ac:dyDescent="0.35">
      <c r="E203" s="17" t="s">
        <v>428</v>
      </c>
      <c r="F203">
        <v>1</v>
      </c>
      <c r="G203" s="27">
        <v>8.8261253309797002E-4</v>
      </c>
    </row>
    <row r="204" spans="5:7" x14ac:dyDescent="0.35">
      <c r="E204" s="17" t="s">
        <v>195</v>
      </c>
      <c r="F204">
        <v>1</v>
      </c>
      <c r="G204" s="27">
        <v>8.8261253309797002E-4</v>
      </c>
    </row>
    <row r="205" spans="5:7" x14ac:dyDescent="0.35">
      <c r="E205" s="17" t="s">
        <v>444</v>
      </c>
      <c r="F205">
        <v>1</v>
      </c>
      <c r="G205" s="27">
        <v>8.8261253309797002E-4</v>
      </c>
    </row>
    <row r="206" spans="5:7" x14ac:dyDescent="0.35">
      <c r="E206" s="17" t="s">
        <v>16</v>
      </c>
      <c r="F206">
        <v>1</v>
      </c>
      <c r="G206" s="27">
        <v>8.8261253309797002E-4</v>
      </c>
    </row>
    <row r="207" spans="5:7" x14ac:dyDescent="0.35">
      <c r="E207" s="17" t="s">
        <v>460</v>
      </c>
      <c r="F207">
        <v>1</v>
      </c>
      <c r="G207" s="27">
        <v>8.8261253309797002E-4</v>
      </c>
    </row>
    <row r="208" spans="5:7" x14ac:dyDescent="0.35">
      <c r="E208" s="17" t="s">
        <v>197</v>
      </c>
      <c r="F208">
        <v>1</v>
      </c>
      <c r="G208" s="27">
        <v>8.8261253309797002E-4</v>
      </c>
    </row>
    <row r="209" spans="5:7" x14ac:dyDescent="0.35">
      <c r="E209" s="17" t="s">
        <v>109</v>
      </c>
      <c r="F209">
        <v>1</v>
      </c>
      <c r="G209" s="27">
        <v>8.8261253309797002E-4</v>
      </c>
    </row>
    <row r="210" spans="5:7" x14ac:dyDescent="0.35">
      <c r="E210" s="17" t="s">
        <v>198</v>
      </c>
      <c r="F210">
        <v>1</v>
      </c>
      <c r="G210" s="27">
        <v>8.8261253309797002E-4</v>
      </c>
    </row>
    <row r="211" spans="5:7" x14ac:dyDescent="0.35">
      <c r="E211" s="17" t="s">
        <v>336</v>
      </c>
      <c r="F211">
        <v>1</v>
      </c>
      <c r="G211" s="27">
        <v>8.8261253309797002E-4</v>
      </c>
    </row>
    <row r="212" spans="5:7" x14ac:dyDescent="0.35">
      <c r="E212" s="17" t="s">
        <v>199</v>
      </c>
      <c r="F212">
        <v>1</v>
      </c>
      <c r="G212" s="27">
        <v>8.8261253309797002E-4</v>
      </c>
    </row>
    <row r="213" spans="5:7" x14ac:dyDescent="0.35">
      <c r="E213" s="17" t="s">
        <v>344</v>
      </c>
      <c r="F213">
        <v>1</v>
      </c>
      <c r="G213" s="27">
        <v>8.8261253309797002E-4</v>
      </c>
    </row>
    <row r="214" spans="5:7" x14ac:dyDescent="0.35">
      <c r="E214" s="17" t="s">
        <v>126</v>
      </c>
      <c r="F214">
        <v>1</v>
      </c>
      <c r="G214" s="27">
        <v>8.8261253309797002E-4</v>
      </c>
    </row>
    <row r="215" spans="5:7" x14ac:dyDescent="0.35">
      <c r="E215" s="17" t="s">
        <v>352</v>
      </c>
      <c r="F215">
        <v>1</v>
      </c>
      <c r="G215" s="27">
        <v>8.8261253309797002E-4</v>
      </c>
    </row>
    <row r="216" spans="5:7" x14ac:dyDescent="0.35">
      <c r="E216" s="17" t="s">
        <v>201</v>
      </c>
      <c r="F216">
        <v>1</v>
      </c>
      <c r="G216" s="27">
        <v>8.8261253309797002E-4</v>
      </c>
    </row>
    <row r="217" spans="5:7" x14ac:dyDescent="0.35">
      <c r="E217" s="17" t="s">
        <v>360</v>
      </c>
      <c r="F217">
        <v>1</v>
      </c>
      <c r="G217" s="27">
        <v>8.8261253309797002E-4</v>
      </c>
    </row>
    <row r="218" spans="5:7" x14ac:dyDescent="0.35">
      <c r="E218" s="17" t="s">
        <v>202</v>
      </c>
      <c r="F218">
        <v>1</v>
      </c>
      <c r="G218" s="27">
        <v>8.8261253309797002E-4</v>
      </c>
    </row>
    <row r="219" spans="5:7" x14ac:dyDescent="0.35">
      <c r="E219" s="17" t="s">
        <v>164</v>
      </c>
      <c r="F219">
        <v>1</v>
      </c>
      <c r="G219" s="27">
        <v>8.8261253309797002E-4</v>
      </c>
    </row>
    <row r="220" spans="5:7" x14ac:dyDescent="0.35">
      <c r="E220" s="17" t="s">
        <v>203</v>
      </c>
      <c r="F220">
        <v>1</v>
      </c>
      <c r="G220" s="27">
        <v>8.8261253309797002E-4</v>
      </c>
    </row>
    <row r="221" spans="5:7" x14ac:dyDescent="0.35">
      <c r="E221" s="17" t="s">
        <v>376</v>
      </c>
      <c r="F221">
        <v>1</v>
      </c>
      <c r="G221" s="27">
        <v>8.8261253309797002E-4</v>
      </c>
    </row>
    <row r="222" spans="5:7" x14ac:dyDescent="0.35">
      <c r="E222" s="17" t="s">
        <v>204</v>
      </c>
      <c r="F222">
        <v>1</v>
      </c>
      <c r="G222" s="27">
        <v>8.8261253309797002E-4</v>
      </c>
    </row>
    <row r="223" spans="5:7" x14ac:dyDescent="0.35">
      <c r="E223" s="17" t="s">
        <v>384</v>
      </c>
      <c r="F223">
        <v>1</v>
      </c>
      <c r="G223" s="27">
        <v>8.8261253309797002E-4</v>
      </c>
    </row>
    <row r="224" spans="5:7" x14ac:dyDescent="0.35">
      <c r="E224" s="17" t="s">
        <v>50</v>
      </c>
      <c r="F224">
        <v>1</v>
      </c>
      <c r="G224" s="27">
        <v>8.8261253309797002E-4</v>
      </c>
    </row>
    <row r="225" spans="5:7" x14ac:dyDescent="0.35">
      <c r="E225" s="17" t="s">
        <v>392</v>
      </c>
      <c r="F225">
        <v>1</v>
      </c>
      <c r="G225" s="27">
        <v>8.8261253309797002E-4</v>
      </c>
    </row>
    <row r="226" spans="5:7" x14ac:dyDescent="0.35">
      <c r="E226" s="17" t="s">
        <v>51</v>
      </c>
      <c r="F226">
        <v>1</v>
      </c>
      <c r="G226" s="27">
        <v>8.8261253309797002E-4</v>
      </c>
    </row>
    <row r="227" spans="5:7" x14ac:dyDescent="0.35">
      <c r="E227" s="17" t="s">
        <v>45</v>
      </c>
      <c r="F227">
        <v>1</v>
      </c>
      <c r="G227" s="27">
        <v>8.8261253309797002E-4</v>
      </c>
    </row>
    <row r="228" spans="5:7" x14ac:dyDescent="0.35">
      <c r="E228" s="17" t="s">
        <v>207</v>
      </c>
      <c r="F228">
        <v>1</v>
      </c>
      <c r="G228" s="27">
        <v>8.8261253309797002E-4</v>
      </c>
    </row>
    <row r="229" spans="5:7" x14ac:dyDescent="0.35">
      <c r="E229" s="17" t="s">
        <v>408</v>
      </c>
      <c r="F229">
        <v>1</v>
      </c>
      <c r="G229" s="27">
        <v>8.8261253309797002E-4</v>
      </c>
    </row>
    <row r="230" spans="5:7" x14ac:dyDescent="0.35">
      <c r="E230" s="17" t="s">
        <v>52</v>
      </c>
      <c r="F230">
        <v>1</v>
      </c>
      <c r="G230" s="27">
        <v>8.8261253309797002E-4</v>
      </c>
    </row>
    <row r="231" spans="5:7" x14ac:dyDescent="0.35">
      <c r="E231" s="17" t="s">
        <v>416</v>
      </c>
      <c r="F231">
        <v>1</v>
      </c>
      <c r="G231" s="27">
        <v>8.8261253309797002E-4</v>
      </c>
    </row>
    <row r="232" spans="5:7" x14ac:dyDescent="0.35">
      <c r="E232" s="17" t="s">
        <v>209</v>
      </c>
      <c r="F232">
        <v>1</v>
      </c>
      <c r="G232" s="27">
        <v>8.8261253309797002E-4</v>
      </c>
    </row>
    <row r="233" spans="5:7" x14ac:dyDescent="0.35">
      <c r="E233" s="17" t="s">
        <v>424</v>
      </c>
      <c r="F233">
        <v>1</v>
      </c>
      <c r="G233" s="27">
        <v>8.8261253309797002E-4</v>
      </c>
    </row>
    <row r="234" spans="5:7" x14ac:dyDescent="0.35">
      <c r="E234" s="17" t="s">
        <v>210</v>
      </c>
      <c r="F234">
        <v>1</v>
      </c>
      <c r="G234" s="27">
        <v>8.8261253309797002E-4</v>
      </c>
    </row>
    <row r="235" spans="5:7" x14ac:dyDescent="0.35">
      <c r="E235" s="17" t="s">
        <v>432</v>
      </c>
      <c r="F235">
        <v>1</v>
      </c>
      <c r="G235" s="27">
        <v>8.8261253309797002E-4</v>
      </c>
    </row>
    <row r="236" spans="5:7" x14ac:dyDescent="0.35">
      <c r="E236" s="17" t="s">
        <v>127</v>
      </c>
      <c r="F236">
        <v>1</v>
      </c>
      <c r="G236" s="27">
        <v>8.8261253309797002E-4</v>
      </c>
    </row>
    <row r="237" spans="5:7" x14ac:dyDescent="0.35">
      <c r="E237" s="17" t="s">
        <v>177</v>
      </c>
      <c r="F237">
        <v>1</v>
      </c>
      <c r="G237" s="27">
        <v>8.8261253309797002E-4</v>
      </c>
    </row>
    <row r="238" spans="5:7" x14ac:dyDescent="0.35">
      <c r="E238" s="17" t="s">
        <v>212</v>
      </c>
      <c r="F238">
        <v>1</v>
      </c>
      <c r="G238" s="27">
        <v>8.8261253309797002E-4</v>
      </c>
    </row>
    <row r="239" spans="5:7" x14ac:dyDescent="0.35">
      <c r="E239" s="17" t="s">
        <v>448</v>
      </c>
      <c r="F239">
        <v>1</v>
      </c>
      <c r="G239" s="27">
        <v>8.8261253309797002E-4</v>
      </c>
    </row>
    <row r="240" spans="5:7" x14ac:dyDescent="0.35">
      <c r="E240" s="17" t="s">
        <v>213</v>
      </c>
      <c r="F240">
        <v>1</v>
      </c>
      <c r="G240" s="27">
        <v>8.8261253309797002E-4</v>
      </c>
    </row>
    <row r="241" spans="5:7" x14ac:dyDescent="0.35">
      <c r="E241" s="17" t="s">
        <v>456</v>
      </c>
      <c r="F241">
        <v>1</v>
      </c>
      <c r="G241" s="27">
        <v>8.8261253309797002E-4</v>
      </c>
    </row>
    <row r="242" spans="5:7" x14ac:dyDescent="0.35">
      <c r="E242" s="17" t="s">
        <v>214</v>
      </c>
      <c r="F242">
        <v>1</v>
      </c>
      <c r="G242" s="27">
        <v>8.8261253309797002E-4</v>
      </c>
    </row>
    <row r="243" spans="5:7" x14ac:dyDescent="0.35">
      <c r="E243" s="17" t="s">
        <v>151</v>
      </c>
      <c r="F243">
        <v>1</v>
      </c>
      <c r="G243" s="27">
        <v>8.8261253309797002E-4</v>
      </c>
    </row>
    <row r="244" spans="5:7" x14ac:dyDescent="0.35">
      <c r="E244" s="17" t="s">
        <v>215</v>
      </c>
      <c r="F244">
        <v>1</v>
      </c>
      <c r="G244" s="27">
        <v>8.8261253309797002E-4</v>
      </c>
    </row>
    <row r="245" spans="5:7" x14ac:dyDescent="0.35">
      <c r="E245" s="17" t="s">
        <v>326</v>
      </c>
      <c r="F245">
        <v>1</v>
      </c>
      <c r="G245" s="27">
        <v>8.8261253309797002E-4</v>
      </c>
    </row>
    <row r="246" spans="5:7" x14ac:dyDescent="0.35">
      <c r="E246" s="17" t="s">
        <v>216</v>
      </c>
      <c r="F246">
        <v>1</v>
      </c>
      <c r="G246" s="27">
        <v>8.8261253309797002E-4</v>
      </c>
    </row>
    <row r="247" spans="5:7" x14ac:dyDescent="0.35">
      <c r="E247" s="17" t="s">
        <v>330</v>
      </c>
      <c r="F247">
        <v>1</v>
      </c>
      <c r="G247" s="27">
        <v>8.8261253309797002E-4</v>
      </c>
    </row>
    <row r="248" spans="5:7" x14ac:dyDescent="0.35">
      <c r="E248" s="17" t="s">
        <v>53</v>
      </c>
      <c r="F248">
        <v>1</v>
      </c>
      <c r="G248" s="27">
        <v>8.8261253309797002E-4</v>
      </c>
    </row>
    <row r="249" spans="5:7" x14ac:dyDescent="0.35">
      <c r="E249" s="17" t="s">
        <v>110</v>
      </c>
      <c r="F249">
        <v>1</v>
      </c>
      <c r="G249" s="27">
        <v>8.8261253309797002E-4</v>
      </c>
    </row>
    <row r="250" spans="5:7" x14ac:dyDescent="0.35">
      <c r="E250" s="17" t="s">
        <v>218</v>
      </c>
      <c r="F250">
        <v>1</v>
      </c>
      <c r="G250" s="27">
        <v>8.8261253309797002E-4</v>
      </c>
    </row>
    <row r="251" spans="5:7" x14ac:dyDescent="0.35">
      <c r="E251" s="17" t="s">
        <v>338</v>
      </c>
      <c r="F251">
        <v>1</v>
      </c>
      <c r="G251" s="27">
        <v>8.8261253309797002E-4</v>
      </c>
    </row>
    <row r="252" spans="5:7" x14ac:dyDescent="0.35">
      <c r="E252" s="17" t="s">
        <v>13</v>
      </c>
      <c r="F252">
        <v>1</v>
      </c>
      <c r="G252" s="27">
        <v>8.8261253309797002E-4</v>
      </c>
    </row>
    <row r="253" spans="5:7" x14ac:dyDescent="0.35">
      <c r="E253" s="17" t="s">
        <v>27</v>
      </c>
      <c r="F253">
        <v>1</v>
      </c>
      <c r="G253" s="27">
        <v>8.8261253309797002E-4</v>
      </c>
    </row>
    <row r="254" spans="5:7" x14ac:dyDescent="0.35">
      <c r="E254" s="17" t="s">
        <v>55</v>
      </c>
      <c r="F254">
        <v>1</v>
      </c>
      <c r="G254" s="27">
        <v>8.8261253309797002E-4</v>
      </c>
    </row>
    <row r="255" spans="5:7" x14ac:dyDescent="0.35">
      <c r="E255" s="17" t="s">
        <v>346</v>
      </c>
      <c r="F255">
        <v>1</v>
      </c>
      <c r="G255" s="27">
        <v>8.8261253309797002E-4</v>
      </c>
    </row>
    <row r="256" spans="5:7" x14ac:dyDescent="0.35">
      <c r="E256" s="17" t="s">
        <v>128</v>
      </c>
      <c r="F256">
        <v>1</v>
      </c>
      <c r="G256" s="27">
        <v>8.8261253309797002E-4</v>
      </c>
    </row>
    <row r="257" spans="5:7" x14ac:dyDescent="0.35">
      <c r="E257" s="17" t="s">
        <v>350</v>
      </c>
      <c r="F257">
        <v>1</v>
      </c>
      <c r="G257" s="27">
        <v>8.8261253309797002E-4</v>
      </c>
    </row>
    <row r="258" spans="5:7" x14ac:dyDescent="0.35">
      <c r="E258" s="17" t="s">
        <v>222</v>
      </c>
      <c r="F258">
        <v>1</v>
      </c>
      <c r="G258" s="27">
        <v>8.8261253309797002E-4</v>
      </c>
    </row>
    <row r="259" spans="5:7" x14ac:dyDescent="0.35">
      <c r="E259" s="17" t="s">
        <v>354</v>
      </c>
      <c r="F259">
        <v>1</v>
      </c>
      <c r="G259" s="27">
        <v>8.8261253309797002E-4</v>
      </c>
    </row>
    <row r="260" spans="5:7" x14ac:dyDescent="0.35">
      <c r="E260" s="17" t="s">
        <v>100</v>
      </c>
      <c r="F260">
        <v>1</v>
      </c>
      <c r="G260" s="27">
        <v>8.8261253309797002E-4</v>
      </c>
    </row>
    <row r="261" spans="5:7" x14ac:dyDescent="0.35">
      <c r="E261" s="17" t="s">
        <v>358</v>
      </c>
      <c r="F261">
        <v>1</v>
      </c>
      <c r="G261" s="27">
        <v>8.8261253309797002E-4</v>
      </c>
    </row>
    <row r="262" spans="5:7" x14ac:dyDescent="0.35">
      <c r="E262" s="17" t="s">
        <v>224</v>
      </c>
      <c r="F262">
        <v>1</v>
      </c>
      <c r="G262" s="27">
        <v>8.8261253309797002E-4</v>
      </c>
    </row>
    <row r="263" spans="5:7" x14ac:dyDescent="0.35">
      <c r="E263" s="17" t="s">
        <v>362</v>
      </c>
      <c r="F263">
        <v>1</v>
      </c>
      <c r="G263" s="27">
        <v>8.8261253309797002E-4</v>
      </c>
    </row>
    <row r="264" spans="5:7" x14ac:dyDescent="0.35">
      <c r="E264" s="17" t="s">
        <v>225</v>
      </c>
      <c r="F264">
        <v>1</v>
      </c>
      <c r="G264" s="27">
        <v>8.8261253309797002E-4</v>
      </c>
    </row>
    <row r="265" spans="5:7" x14ac:dyDescent="0.35">
      <c r="E265" s="17" t="s">
        <v>366</v>
      </c>
      <c r="F265">
        <v>1</v>
      </c>
      <c r="G265" s="27">
        <v>8.8261253309797002E-4</v>
      </c>
    </row>
    <row r="266" spans="5:7" x14ac:dyDescent="0.35">
      <c r="E266" s="17" t="s">
        <v>130</v>
      </c>
      <c r="F266">
        <v>1</v>
      </c>
      <c r="G266" s="27">
        <v>8.8261253309797002E-4</v>
      </c>
    </row>
    <row r="267" spans="5:7" x14ac:dyDescent="0.35">
      <c r="E267" s="17" t="s">
        <v>370</v>
      </c>
      <c r="F267">
        <v>1</v>
      </c>
      <c r="G267" s="27">
        <v>8.8261253309797002E-4</v>
      </c>
    </row>
    <row r="268" spans="5:7" x14ac:dyDescent="0.35">
      <c r="E268" s="17" t="s">
        <v>227</v>
      </c>
      <c r="F268">
        <v>1</v>
      </c>
      <c r="G268" s="27">
        <v>8.8261253309797002E-4</v>
      </c>
    </row>
    <row r="269" spans="5:7" x14ac:dyDescent="0.35">
      <c r="E269" s="17" t="s">
        <v>374</v>
      </c>
      <c r="F269">
        <v>1</v>
      </c>
      <c r="G269" s="27">
        <v>8.8261253309797002E-4</v>
      </c>
    </row>
    <row r="270" spans="5:7" x14ac:dyDescent="0.35">
      <c r="E270" s="17" t="s">
        <v>228</v>
      </c>
      <c r="F270">
        <v>1</v>
      </c>
      <c r="G270" s="27">
        <v>8.8261253309797002E-4</v>
      </c>
    </row>
    <row r="271" spans="5:7" x14ac:dyDescent="0.35">
      <c r="E271" s="17" t="s">
        <v>378</v>
      </c>
      <c r="F271">
        <v>1</v>
      </c>
      <c r="G271" s="27">
        <v>8.8261253309797002E-4</v>
      </c>
    </row>
    <row r="272" spans="5:7" x14ac:dyDescent="0.35">
      <c r="E272" s="17" t="s">
        <v>229</v>
      </c>
      <c r="F272">
        <v>1</v>
      </c>
      <c r="G272" s="27">
        <v>8.8261253309797002E-4</v>
      </c>
    </row>
    <row r="273" spans="5:7" x14ac:dyDescent="0.35">
      <c r="E273" s="17" t="s">
        <v>382</v>
      </c>
      <c r="F273">
        <v>1</v>
      </c>
      <c r="G273" s="27">
        <v>8.8261253309797002E-4</v>
      </c>
    </row>
    <row r="274" spans="5:7" x14ac:dyDescent="0.35">
      <c r="E274" s="17" t="s">
        <v>230</v>
      </c>
      <c r="F274">
        <v>1</v>
      </c>
      <c r="G274" s="27">
        <v>8.8261253309797002E-4</v>
      </c>
    </row>
    <row r="275" spans="5:7" x14ac:dyDescent="0.35">
      <c r="E275" s="17" t="s">
        <v>386</v>
      </c>
      <c r="F275">
        <v>1</v>
      </c>
      <c r="G275" s="27">
        <v>8.8261253309797002E-4</v>
      </c>
    </row>
    <row r="276" spans="5:7" x14ac:dyDescent="0.35">
      <c r="E276" s="17" t="s">
        <v>231</v>
      </c>
      <c r="F276">
        <v>1</v>
      </c>
      <c r="G276" s="27">
        <v>8.8261253309797002E-4</v>
      </c>
    </row>
    <row r="277" spans="5:7" x14ac:dyDescent="0.35">
      <c r="E277" s="17" t="s">
        <v>390</v>
      </c>
      <c r="F277">
        <v>1</v>
      </c>
      <c r="G277" s="27">
        <v>8.8261253309797002E-4</v>
      </c>
    </row>
    <row r="278" spans="5:7" x14ac:dyDescent="0.35">
      <c r="E278" s="17" t="s">
        <v>131</v>
      </c>
      <c r="F278">
        <v>1</v>
      </c>
      <c r="G278" s="27">
        <v>8.8261253309797002E-4</v>
      </c>
    </row>
    <row r="279" spans="5:7" x14ac:dyDescent="0.35">
      <c r="E279" s="17" t="s">
        <v>394</v>
      </c>
      <c r="F279">
        <v>1</v>
      </c>
      <c r="G279" s="27">
        <v>8.8261253309797002E-4</v>
      </c>
    </row>
    <row r="280" spans="5:7" x14ac:dyDescent="0.35">
      <c r="E280" s="17" t="s">
        <v>233</v>
      </c>
      <c r="F280">
        <v>1</v>
      </c>
      <c r="G280" s="27">
        <v>8.8261253309797002E-4</v>
      </c>
    </row>
    <row r="281" spans="5:7" x14ac:dyDescent="0.35">
      <c r="E281" s="17" t="s">
        <v>81</v>
      </c>
      <c r="F281">
        <v>1</v>
      </c>
      <c r="G281" s="27">
        <v>8.8261253309797002E-4</v>
      </c>
    </row>
    <row r="282" spans="5:7" x14ac:dyDescent="0.35">
      <c r="E282" s="17" t="s">
        <v>36</v>
      </c>
      <c r="F282">
        <v>1</v>
      </c>
      <c r="G282" s="27">
        <v>8.8261253309797002E-4</v>
      </c>
    </row>
    <row r="283" spans="5:7" x14ac:dyDescent="0.35">
      <c r="E283" s="17" t="s">
        <v>84</v>
      </c>
      <c r="F283">
        <v>1</v>
      </c>
      <c r="G283" s="27">
        <v>8.8261253309797002E-4</v>
      </c>
    </row>
    <row r="284" spans="5:7" x14ac:dyDescent="0.35">
      <c r="E284" s="17" t="s">
        <v>133</v>
      </c>
      <c r="F284">
        <v>1</v>
      </c>
      <c r="G284" s="27">
        <v>8.8261253309797002E-4</v>
      </c>
    </row>
    <row r="285" spans="5:7" x14ac:dyDescent="0.35">
      <c r="E285" s="17" t="s">
        <v>406</v>
      </c>
      <c r="F285">
        <v>1</v>
      </c>
      <c r="G285" s="27">
        <v>8.8261253309797002E-4</v>
      </c>
    </row>
    <row r="286" spans="5:7" x14ac:dyDescent="0.35">
      <c r="E286" s="17" t="s">
        <v>236</v>
      </c>
      <c r="F286">
        <v>1</v>
      </c>
      <c r="G286" s="27">
        <v>8.8261253309797002E-4</v>
      </c>
    </row>
    <row r="287" spans="5:7" x14ac:dyDescent="0.35">
      <c r="E287" s="17" t="s">
        <v>410</v>
      </c>
      <c r="F287">
        <v>1</v>
      </c>
      <c r="G287" s="27">
        <v>8.8261253309797002E-4</v>
      </c>
    </row>
    <row r="288" spans="5:7" x14ac:dyDescent="0.35">
      <c r="E288" s="17" t="s">
        <v>237</v>
      </c>
      <c r="F288">
        <v>1</v>
      </c>
      <c r="G288" s="27">
        <v>8.8261253309797002E-4</v>
      </c>
    </row>
    <row r="289" spans="5:7" x14ac:dyDescent="0.35">
      <c r="E289" s="17" t="s">
        <v>414</v>
      </c>
      <c r="F289">
        <v>1</v>
      </c>
      <c r="G289" s="27">
        <v>8.8261253309797002E-4</v>
      </c>
    </row>
    <row r="290" spans="5:7" x14ac:dyDescent="0.35">
      <c r="E290" s="17" t="s">
        <v>58</v>
      </c>
      <c r="F290">
        <v>1</v>
      </c>
      <c r="G290" s="27">
        <v>8.8261253309797002E-4</v>
      </c>
    </row>
    <row r="291" spans="5:7" x14ac:dyDescent="0.35">
      <c r="E291" s="17" t="s">
        <v>171</v>
      </c>
      <c r="F291">
        <v>1</v>
      </c>
      <c r="G291" s="27">
        <v>8.8261253309797002E-4</v>
      </c>
    </row>
    <row r="292" spans="5:7" x14ac:dyDescent="0.35">
      <c r="E292" s="17" t="s">
        <v>59</v>
      </c>
      <c r="F292">
        <v>1</v>
      </c>
      <c r="G292" s="27">
        <v>8.8261253309797002E-4</v>
      </c>
    </row>
    <row r="293" spans="5:7" x14ac:dyDescent="0.35">
      <c r="E293" s="17" t="s">
        <v>173</v>
      </c>
      <c r="F293">
        <v>1</v>
      </c>
      <c r="G293" s="27">
        <v>8.8261253309797002E-4</v>
      </c>
    </row>
    <row r="294" spans="5:7" x14ac:dyDescent="0.35">
      <c r="E294" s="17" t="s">
        <v>240</v>
      </c>
      <c r="F294">
        <v>1</v>
      </c>
      <c r="G294" s="27">
        <v>8.8261253309797002E-4</v>
      </c>
    </row>
    <row r="295" spans="5:7" x14ac:dyDescent="0.35">
      <c r="E295" s="17" t="s">
        <v>426</v>
      </c>
      <c r="F295">
        <v>1</v>
      </c>
      <c r="G295" s="27">
        <v>8.8261253309797002E-4</v>
      </c>
    </row>
    <row r="296" spans="5:7" x14ac:dyDescent="0.35">
      <c r="E296" s="17" t="s">
        <v>241</v>
      </c>
      <c r="F296">
        <v>1</v>
      </c>
      <c r="G296" s="27">
        <v>8.8261253309797002E-4</v>
      </c>
    </row>
    <row r="297" spans="5:7" x14ac:dyDescent="0.35">
      <c r="E297" s="17" t="s">
        <v>174</v>
      </c>
      <c r="F297">
        <v>1</v>
      </c>
      <c r="G297" s="27">
        <v>8.8261253309797002E-4</v>
      </c>
    </row>
    <row r="298" spans="5:7" x14ac:dyDescent="0.35">
      <c r="E298" s="17" t="s">
        <v>242</v>
      </c>
      <c r="F298">
        <v>1</v>
      </c>
      <c r="G298" s="27">
        <v>8.8261253309797002E-4</v>
      </c>
    </row>
    <row r="299" spans="5:7" x14ac:dyDescent="0.35">
      <c r="E299" s="17" t="s">
        <v>434</v>
      </c>
      <c r="F299">
        <v>1</v>
      </c>
      <c r="G299" s="27">
        <v>8.8261253309797002E-4</v>
      </c>
    </row>
    <row r="300" spans="5:7" x14ac:dyDescent="0.35">
      <c r="E300" s="17" t="s">
        <v>243</v>
      </c>
      <c r="F300">
        <v>1</v>
      </c>
      <c r="G300" s="27">
        <v>8.8261253309797002E-4</v>
      </c>
    </row>
    <row r="301" spans="5:7" x14ac:dyDescent="0.35">
      <c r="E301" s="17" t="s">
        <v>438</v>
      </c>
      <c r="F301">
        <v>1</v>
      </c>
      <c r="G301" s="27">
        <v>8.8261253309797002E-4</v>
      </c>
    </row>
    <row r="302" spans="5:7" x14ac:dyDescent="0.35">
      <c r="E302" s="17" t="s">
        <v>244</v>
      </c>
      <c r="F302">
        <v>1</v>
      </c>
      <c r="G302" s="27">
        <v>8.8261253309797002E-4</v>
      </c>
    </row>
    <row r="303" spans="5:7" x14ac:dyDescent="0.35">
      <c r="E303" s="17" t="s">
        <v>442</v>
      </c>
      <c r="F303">
        <v>1</v>
      </c>
      <c r="G303" s="27">
        <v>8.8261253309797002E-4</v>
      </c>
    </row>
    <row r="304" spans="5:7" x14ac:dyDescent="0.35">
      <c r="E304" s="17" t="s">
        <v>101</v>
      </c>
      <c r="F304">
        <v>1</v>
      </c>
      <c r="G304" s="27">
        <v>8.8261253309797002E-4</v>
      </c>
    </row>
    <row r="305" spans="5:7" x14ac:dyDescent="0.35">
      <c r="E305" s="17" t="s">
        <v>446</v>
      </c>
      <c r="F305">
        <v>1</v>
      </c>
      <c r="G305" s="27">
        <v>8.8261253309797002E-4</v>
      </c>
    </row>
    <row r="306" spans="5:7" x14ac:dyDescent="0.35">
      <c r="E306" s="17" t="s">
        <v>135</v>
      </c>
      <c r="F306">
        <v>1</v>
      </c>
      <c r="G306" s="27">
        <v>8.8261253309797002E-4</v>
      </c>
    </row>
    <row r="307" spans="5:7" x14ac:dyDescent="0.35">
      <c r="E307" s="17" t="s">
        <v>118</v>
      </c>
      <c r="F307">
        <v>1</v>
      </c>
      <c r="G307" s="27">
        <v>8.8261253309797002E-4</v>
      </c>
    </row>
    <row r="308" spans="5:7" x14ac:dyDescent="0.35">
      <c r="E308" s="17" t="s">
        <v>247</v>
      </c>
      <c r="F308">
        <v>1</v>
      </c>
      <c r="G308" s="27">
        <v>8.8261253309797002E-4</v>
      </c>
    </row>
    <row r="309" spans="5:7" x14ac:dyDescent="0.35">
      <c r="E309" s="17" t="s">
        <v>454</v>
      </c>
      <c r="F309">
        <v>1</v>
      </c>
      <c r="G309" s="27">
        <v>8.8261253309797002E-4</v>
      </c>
    </row>
    <row r="310" spans="5:7" x14ac:dyDescent="0.35">
      <c r="E310" s="17" t="s">
        <v>248</v>
      </c>
      <c r="F310">
        <v>1</v>
      </c>
      <c r="G310" s="27">
        <v>8.8261253309797002E-4</v>
      </c>
    </row>
    <row r="311" spans="5:7" x14ac:dyDescent="0.35">
      <c r="E311" s="17" t="s">
        <v>458</v>
      </c>
      <c r="F311">
        <v>1</v>
      </c>
      <c r="G311" s="27">
        <v>8.8261253309797002E-4</v>
      </c>
    </row>
    <row r="312" spans="5:7" x14ac:dyDescent="0.35">
      <c r="E312" s="17" t="s">
        <v>249</v>
      </c>
      <c r="F312">
        <v>1</v>
      </c>
      <c r="G312" s="27">
        <v>8.8261253309797002E-4</v>
      </c>
    </row>
    <row r="313" spans="5:7" x14ac:dyDescent="0.35">
      <c r="E313" s="17" t="s">
        <v>181</v>
      </c>
      <c r="F313">
        <v>1</v>
      </c>
      <c r="G313" s="27">
        <v>8.8261253309797002E-4</v>
      </c>
    </row>
    <row r="314" spans="5:7" x14ac:dyDescent="0.35">
      <c r="E314" s="17" t="s">
        <v>250</v>
      </c>
      <c r="F314">
        <v>1</v>
      </c>
      <c r="G314" s="27">
        <v>8.8261253309797002E-4</v>
      </c>
    </row>
    <row r="315" spans="5:7" x14ac:dyDescent="0.35">
      <c r="E315" s="17" t="s">
        <v>323</v>
      </c>
      <c r="F315">
        <v>1</v>
      </c>
      <c r="G315" s="27">
        <v>8.8261253309797002E-4</v>
      </c>
    </row>
    <row r="316" spans="5:7" x14ac:dyDescent="0.35">
      <c r="E316" s="17" t="s">
        <v>251</v>
      </c>
      <c r="F316">
        <v>1</v>
      </c>
      <c r="G316" s="27">
        <v>8.8261253309797002E-4</v>
      </c>
    </row>
    <row r="317" spans="5:7" x14ac:dyDescent="0.35">
      <c r="E317" s="17" t="s">
        <v>152</v>
      </c>
      <c r="F317">
        <v>1</v>
      </c>
      <c r="G317" s="27">
        <v>8.8261253309797002E-4</v>
      </c>
    </row>
    <row r="318" spans="5:7" x14ac:dyDescent="0.35">
      <c r="E318" s="17" t="s">
        <v>92</v>
      </c>
      <c r="F318">
        <v>1</v>
      </c>
      <c r="G318" s="27">
        <v>8.8261253309797002E-4</v>
      </c>
    </row>
    <row r="319" spans="5:7" x14ac:dyDescent="0.35">
      <c r="E319" s="17" t="s">
        <v>153</v>
      </c>
      <c r="F319">
        <v>1</v>
      </c>
      <c r="G319" s="27">
        <v>8.8261253309797002E-4</v>
      </c>
    </row>
    <row r="320" spans="5:7" x14ac:dyDescent="0.35">
      <c r="E320" s="17" t="s">
        <v>253</v>
      </c>
      <c r="F320">
        <v>1</v>
      </c>
      <c r="G320" s="27">
        <v>8.8261253309797002E-4</v>
      </c>
    </row>
    <row r="321" spans="5:7" x14ac:dyDescent="0.35">
      <c r="E321" s="17" t="s">
        <v>329</v>
      </c>
      <c r="F321">
        <v>1</v>
      </c>
      <c r="G321" s="27">
        <v>8.8261253309797002E-4</v>
      </c>
    </row>
    <row r="322" spans="5:7" x14ac:dyDescent="0.35">
      <c r="E322" s="17" t="s">
        <v>254</v>
      </c>
      <c r="F322">
        <v>1</v>
      </c>
      <c r="G322" s="27">
        <v>8.8261253309797002E-4</v>
      </c>
    </row>
    <row r="323" spans="5:7" x14ac:dyDescent="0.35">
      <c r="E323" s="17" t="s">
        <v>331</v>
      </c>
      <c r="F323">
        <v>1</v>
      </c>
      <c r="G323" s="27">
        <v>8.8261253309797002E-4</v>
      </c>
    </row>
    <row r="324" spans="5:7" x14ac:dyDescent="0.35">
      <c r="E324" s="17" t="s">
        <v>103</v>
      </c>
      <c r="F324">
        <v>1</v>
      </c>
      <c r="G324" s="27">
        <v>8.8261253309797002E-4</v>
      </c>
    </row>
    <row r="325" spans="5:7" x14ac:dyDescent="0.35">
      <c r="E325" s="17" t="s">
        <v>333</v>
      </c>
      <c r="F325">
        <v>1</v>
      </c>
      <c r="G325" s="27">
        <v>8.8261253309797002E-4</v>
      </c>
    </row>
    <row r="326" spans="5:7" x14ac:dyDescent="0.35">
      <c r="E326" s="17" t="s">
        <v>256</v>
      </c>
      <c r="F326">
        <v>1</v>
      </c>
      <c r="G326" s="27">
        <v>8.8261253309797002E-4</v>
      </c>
    </row>
    <row r="327" spans="5:7" x14ac:dyDescent="0.35">
      <c r="E327" s="17" t="s">
        <v>335</v>
      </c>
      <c r="F327">
        <v>1</v>
      </c>
      <c r="G327" s="27">
        <v>8.8261253309797002E-4</v>
      </c>
    </row>
    <row r="328" spans="5:7" x14ac:dyDescent="0.35">
      <c r="E328" s="17" t="s">
        <v>257</v>
      </c>
      <c r="F328">
        <v>1</v>
      </c>
      <c r="G328" s="27">
        <v>8.8261253309797002E-4</v>
      </c>
    </row>
    <row r="329" spans="5:7" x14ac:dyDescent="0.35">
      <c r="E329" s="17" t="s">
        <v>337</v>
      </c>
      <c r="F329">
        <v>1</v>
      </c>
      <c r="G329" s="27">
        <v>8.8261253309797002E-4</v>
      </c>
    </row>
    <row r="330" spans="5:7" x14ac:dyDescent="0.35">
      <c r="E330" s="17" t="s">
        <v>258</v>
      </c>
      <c r="F330">
        <v>1</v>
      </c>
      <c r="G330" s="27">
        <v>8.8261253309797002E-4</v>
      </c>
    </row>
    <row r="331" spans="5:7" x14ac:dyDescent="0.35">
      <c r="E331" s="17" t="s">
        <v>339</v>
      </c>
      <c r="F331">
        <v>1</v>
      </c>
      <c r="G331" s="27">
        <v>8.8261253309797002E-4</v>
      </c>
    </row>
    <row r="332" spans="5:7" x14ac:dyDescent="0.35">
      <c r="E332" s="17" t="s">
        <v>259</v>
      </c>
      <c r="F332">
        <v>1</v>
      </c>
      <c r="G332" s="27">
        <v>8.8261253309797002E-4</v>
      </c>
    </row>
    <row r="333" spans="5:7" x14ac:dyDescent="0.35">
      <c r="E333" s="17" t="s">
        <v>341</v>
      </c>
      <c r="F333">
        <v>1</v>
      </c>
      <c r="G333" s="27">
        <v>8.8261253309797002E-4</v>
      </c>
    </row>
    <row r="334" spans="5:7" x14ac:dyDescent="0.35">
      <c r="E334" s="17" t="s">
        <v>260</v>
      </c>
      <c r="F334">
        <v>1</v>
      </c>
      <c r="G334" s="27">
        <v>8.8261253309797002E-4</v>
      </c>
    </row>
    <row r="335" spans="5:7" x14ac:dyDescent="0.35">
      <c r="E335" s="17" t="s">
        <v>40</v>
      </c>
      <c r="F335">
        <v>1</v>
      </c>
      <c r="G335" s="27">
        <v>8.8261253309797002E-4</v>
      </c>
    </row>
    <row r="336" spans="5:7" x14ac:dyDescent="0.35">
      <c r="E336" s="17" t="s">
        <v>261</v>
      </c>
      <c r="F336">
        <v>1</v>
      </c>
      <c r="G336" s="27">
        <v>8.8261253309797002E-4</v>
      </c>
    </row>
    <row r="337" spans="5:7" x14ac:dyDescent="0.35">
      <c r="E337" s="17" t="s">
        <v>345</v>
      </c>
      <c r="F337">
        <v>1</v>
      </c>
      <c r="G337" s="27">
        <v>8.8261253309797002E-4</v>
      </c>
    </row>
    <row r="338" spans="5:7" x14ac:dyDescent="0.35">
      <c r="E338" s="17" t="s">
        <v>262</v>
      </c>
      <c r="F338">
        <v>1</v>
      </c>
      <c r="G338" s="27">
        <v>8.8261253309797002E-4</v>
      </c>
    </row>
    <row r="339" spans="5:7" x14ac:dyDescent="0.35">
      <c r="E339" s="17" t="s">
        <v>74</v>
      </c>
      <c r="F339">
        <v>1</v>
      </c>
      <c r="G339" s="27">
        <v>8.8261253309797002E-4</v>
      </c>
    </row>
    <row r="340" spans="5:7" x14ac:dyDescent="0.35">
      <c r="E340" s="17" t="s">
        <v>263</v>
      </c>
      <c r="F340">
        <v>1</v>
      </c>
      <c r="G340" s="27">
        <v>8.8261253309797002E-4</v>
      </c>
    </row>
    <row r="341" spans="5:7" x14ac:dyDescent="0.35">
      <c r="E341" s="17" t="s">
        <v>158</v>
      </c>
      <c r="F341">
        <v>1</v>
      </c>
      <c r="G341" s="27">
        <v>8.8261253309797002E-4</v>
      </c>
    </row>
    <row r="342" spans="5:7" x14ac:dyDescent="0.35">
      <c r="E342" s="17" t="s">
        <v>104</v>
      </c>
      <c r="F342">
        <v>1</v>
      </c>
      <c r="G342" s="27">
        <v>8.8261253309797002E-4</v>
      </c>
    </row>
    <row r="343" spans="5:7" x14ac:dyDescent="0.35">
      <c r="E343" s="17" t="s">
        <v>351</v>
      </c>
      <c r="F343">
        <v>1</v>
      </c>
      <c r="G343" s="27">
        <v>8.8261253309797002E-4</v>
      </c>
    </row>
    <row r="344" spans="5:7" x14ac:dyDescent="0.35">
      <c r="E344" s="17" t="s">
        <v>93</v>
      </c>
      <c r="F344">
        <v>1</v>
      </c>
      <c r="G344" s="27">
        <v>8.8261253309797002E-4</v>
      </c>
    </row>
    <row r="345" spans="5:7" x14ac:dyDescent="0.35">
      <c r="E345" s="17" t="s">
        <v>94</v>
      </c>
      <c r="F345">
        <v>1</v>
      </c>
      <c r="G345" s="27">
        <v>8.8261253309797002E-4</v>
      </c>
    </row>
    <row r="346" spans="5:7" x14ac:dyDescent="0.35">
      <c r="E346" s="17" t="s">
        <v>266</v>
      </c>
      <c r="F346">
        <v>1</v>
      </c>
      <c r="G346" s="27">
        <v>8.8261253309797002E-4</v>
      </c>
    </row>
    <row r="347" spans="5:7" x14ac:dyDescent="0.35">
      <c r="E347" s="17" t="s">
        <v>355</v>
      </c>
      <c r="F347">
        <v>1</v>
      </c>
      <c r="G347" s="27">
        <v>8.8261253309797002E-4</v>
      </c>
    </row>
    <row r="348" spans="5:7" x14ac:dyDescent="0.35">
      <c r="E348" s="17" t="s">
        <v>267</v>
      </c>
      <c r="F348">
        <v>1</v>
      </c>
      <c r="G348" s="27">
        <v>8.8261253309797002E-4</v>
      </c>
    </row>
    <row r="349" spans="5:7" x14ac:dyDescent="0.35">
      <c r="E349" s="17" t="s">
        <v>357</v>
      </c>
      <c r="F349">
        <v>1</v>
      </c>
      <c r="G349" s="27">
        <v>8.8261253309797002E-4</v>
      </c>
    </row>
    <row r="350" spans="5:7" x14ac:dyDescent="0.35">
      <c r="E350" s="17" t="s">
        <v>140</v>
      </c>
      <c r="F350">
        <v>1</v>
      </c>
      <c r="G350" s="27">
        <v>8.8261253309797002E-4</v>
      </c>
    </row>
    <row r="351" spans="5:7" x14ac:dyDescent="0.35">
      <c r="E351" s="17" t="s">
        <v>359</v>
      </c>
      <c r="F351">
        <v>1</v>
      </c>
      <c r="G351" s="27">
        <v>8.8261253309797002E-4</v>
      </c>
    </row>
    <row r="352" spans="5:7" x14ac:dyDescent="0.35">
      <c r="E352" s="17" t="s">
        <v>269</v>
      </c>
      <c r="F352">
        <v>1</v>
      </c>
      <c r="G352" s="27">
        <v>8.8261253309797002E-4</v>
      </c>
    </row>
    <row r="353" spans="5:7" x14ac:dyDescent="0.35">
      <c r="E353" s="17" t="s">
        <v>160</v>
      </c>
      <c r="F353">
        <v>1</v>
      </c>
      <c r="G353" s="27">
        <v>8.8261253309797002E-4</v>
      </c>
    </row>
    <row r="354" spans="5:7" x14ac:dyDescent="0.35">
      <c r="E354" s="17" t="s">
        <v>106</v>
      </c>
      <c r="F354">
        <v>1</v>
      </c>
      <c r="G354" s="27">
        <v>8.8261253309797002E-4</v>
      </c>
    </row>
    <row r="355" spans="5:7" x14ac:dyDescent="0.35">
      <c r="E355" s="17" t="s">
        <v>363</v>
      </c>
      <c r="F355">
        <v>1</v>
      </c>
      <c r="G355" s="27">
        <v>8.8261253309797002E-4</v>
      </c>
    </row>
    <row r="356" spans="5:7" x14ac:dyDescent="0.35">
      <c r="E356" s="17" t="s">
        <v>142</v>
      </c>
      <c r="F356">
        <v>1</v>
      </c>
      <c r="G356" s="27">
        <v>8.8261253309797002E-4</v>
      </c>
    </row>
    <row r="357" spans="5:7" x14ac:dyDescent="0.35">
      <c r="E357" s="17" t="s">
        <v>34</v>
      </c>
      <c r="F357">
        <v>1</v>
      </c>
      <c r="G357" s="27">
        <v>8.8261253309797002E-4</v>
      </c>
    </row>
    <row r="358" spans="5:7" x14ac:dyDescent="0.35">
      <c r="E358" s="17" t="s">
        <v>272</v>
      </c>
      <c r="F358">
        <v>1</v>
      </c>
      <c r="G358" s="27">
        <v>8.8261253309797002E-4</v>
      </c>
    </row>
    <row r="359" spans="5:7" x14ac:dyDescent="0.35">
      <c r="E359" s="17" t="s">
        <v>89</v>
      </c>
      <c r="F359">
        <v>1</v>
      </c>
      <c r="G359" s="27">
        <v>8.8261253309797002E-4</v>
      </c>
    </row>
    <row r="360" spans="5:7" x14ac:dyDescent="0.35">
      <c r="E360" s="17" t="s">
        <v>273</v>
      </c>
      <c r="F360">
        <v>1</v>
      </c>
      <c r="G360" s="27">
        <v>8.8261253309797002E-4</v>
      </c>
    </row>
    <row r="361" spans="5:7" x14ac:dyDescent="0.35">
      <c r="E361" s="17" t="s">
        <v>96</v>
      </c>
      <c r="F361">
        <v>1</v>
      </c>
      <c r="G361" s="27">
        <v>8.8261253309797002E-4</v>
      </c>
    </row>
    <row r="362" spans="5:7" x14ac:dyDescent="0.35">
      <c r="E362" s="17" t="s">
        <v>143</v>
      </c>
      <c r="F362">
        <v>1</v>
      </c>
      <c r="G362" s="27">
        <v>8.8261253309797002E-4</v>
      </c>
    </row>
    <row r="363" spans="5:7" x14ac:dyDescent="0.35">
      <c r="E363" s="17" t="s">
        <v>371</v>
      </c>
      <c r="F363">
        <v>1</v>
      </c>
      <c r="G363" s="27">
        <v>8.8261253309797002E-4</v>
      </c>
    </row>
    <row r="364" spans="5:7" x14ac:dyDescent="0.35">
      <c r="E364" s="17" t="s">
        <v>107</v>
      </c>
      <c r="F364">
        <v>1</v>
      </c>
      <c r="G364" s="27">
        <v>8.8261253309797002E-4</v>
      </c>
    </row>
    <row r="365" spans="5:7" x14ac:dyDescent="0.35">
      <c r="E365" s="17" t="s">
        <v>373</v>
      </c>
      <c r="F365">
        <v>1</v>
      </c>
      <c r="G365" s="27">
        <v>8.8261253309797002E-4</v>
      </c>
    </row>
    <row r="366" spans="5:7" x14ac:dyDescent="0.35">
      <c r="E366" s="17" t="s">
        <v>276</v>
      </c>
      <c r="F366">
        <v>1</v>
      </c>
      <c r="G366" s="27">
        <v>8.8261253309797002E-4</v>
      </c>
    </row>
    <row r="367" spans="5:7" x14ac:dyDescent="0.35">
      <c r="E367" s="17" t="s">
        <v>375</v>
      </c>
      <c r="F367">
        <v>1</v>
      </c>
      <c r="G367" s="27">
        <v>8.8261253309797002E-4</v>
      </c>
    </row>
    <row r="368" spans="5:7" x14ac:dyDescent="0.35">
      <c r="E368" s="17" t="s">
        <v>277</v>
      </c>
      <c r="F368">
        <v>1</v>
      </c>
      <c r="G368" s="27">
        <v>8.8261253309797002E-4</v>
      </c>
    </row>
    <row r="369" spans="5:7" x14ac:dyDescent="0.35">
      <c r="E369" s="17" t="s">
        <v>377</v>
      </c>
      <c r="F369">
        <v>1</v>
      </c>
      <c r="G369" s="27">
        <v>8.8261253309797002E-4</v>
      </c>
    </row>
    <row r="370" spans="5:7" x14ac:dyDescent="0.35">
      <c r="E370" s="17" t="s">
        <v>278</v>
      </c>
      <c r="F370">
        <v>1</v>
      </c>
      <c r="G370" s="27">
        <v>8.8261253309797002E-4</v>
      </c>
    </row>
    <row r="371" spans="5:7" x14ac:dyDescent="0.35">
      <c r="E371" s="17" t="s">
        <v>76</v>
      </c>
      <c r="F371">
        <v>1</v>
      </c>
      <c r="G371" s="27">
        <v>8.8261253309797002E-4</v>
      </c>
    </row>
    <row r="372" spans="5:7" x14ac:dyDescent="0.35">
      <c r="E372" s="17" t="s">
        <v>279</v>
      </c>
      <c r="F372">
        <v>1</v>
      </c>
      <c r="G372" s="27">
        <v>8.8261253309797002E-4</v>
      </c>
    </row>
    <row r="373" spans="5:7" x14ac:dyDescent="0.35">
      <c r="E373" s="17" t="s">
        <v>77</v>
      </c>
      <c r="F373">
        <v>1</v>
      </c>
      <c r="G373" s="27">
        <v>8.8261253309797002E-4</v>
      </c>
    </row>
    <row r="374" spans="5:7" x14ac:dyDescent="0.35">
      <c r="E374" s="17" t="s">
        <v>280</v>
      </c>
      <c r="F374">
        <v>1</v>
      </c>
      <c r="G374" s="27">
        <v>8.8261253309797002E-4</v>
      </c>
    </row>
    <row r="375" spans="5:7" x14ac:dyDescent="0.35">
      <c r="E375" s="17" t="s">
        <v>383</v>
      </c>
      <c r="F375">
        <v>1</v>
      </c>
      <c r="G375" s="27">
        <v>8.8261253309797002E-4</v>
      </c>
    </row>
    <row r="376" spans="5:7" x14ac:dyDescent="0.35">
      <c r="E376" s="17" t="s">
        <v>24</v>
      </c>
      <c r="F376">
        <v>1</v>
      </c>
      <c r="G376" s="27">
        <v>8.8261253309797002E-4</v>
      </c>
    </row>
    <row r="377" spans="5:7" x14ac:dyDescent="0.35">
      <c r="E377" s="17" t="s">
        <v>385</v>
      </c>
      <c r="F377">
        <v>1</v>
      </c>
      <c r="G377" s="27">
        <v>8.8261253309797002E-4</v>
      </c>
    </row>
    <row r="378" spans="5:7" x14ac:dyDescent="0.35">
      <c r="E378" s="17" t="s">
        <v>282</v>
      </c>
      <c r="F378">
        <v>1</v>
      </c>
      <c r="G378" s="27">
        <v>8.8261253309797002E-4</v>
      </c>
    </row>
    <row r="379" spans="5:7" x14ac:dyDescent="0.35">
      <c r="E379" s="17" t="s">
        <v>15</v>
      </c>
      <c r="F379">
        <v>1</v>
      </c>
      <c r="G379" s="27">
        <v>8.8261253309797002E-4</v>
      </c>
    </row>
    <row r="380" spans="5:7" x14ac:dyDescent="0.35">
      <c r="E380" s="17" t="s">
        <v>283</v>
      </c>
      <c r="F380">
        <v>1</v>
      </c>
      <c r="G380" s="27">
        <v>8.8261253309797002E-4</v>
      </c>
    </row>
    <row r="381" spans="5:7" x14ac:dyDescent="0.35">
      <c r="E381" s="17" t="s">
        <v>166</v>
      </c>
      <c r="F381">
        <v>1</v>
      </c>
      <c r="G381" s="27">
        <v>8.8261253309797002E-4</v>
      </c>
    </row>
    <row r="382" spans="5:7" x14ac:dyDescent="0.35">
      <c r="E382" s="17" t="s">
        <v>25</v>
      </c>
      <c r="F382">
        <v>1</v>
      </c>
      <c r="G382" s="27">
        <v>8.8261253309797002E-4</v>
      </c>
    </row>
    <row r="383" spans="5:7" x14ac:dyDescent="0.35">
      <c r="E383" s="17" t="s">
        <v>391</v>
      </c>
      <c r="F383">
        <v>1</v>
      </c>
      <c r="G383" s="27">
        <v>8.8261253309797002E-4</v>
      </c>
    </row>
    <row r="384" spans="5:7" x14ac:dyDescent="0.35">
      <c r="E384" s="17" t="s">
        <v>285</v>
      </c>
      <c r="F384">
        <v>1</v>
      </c>
      <c r="G384" s="27">
        <v>8.8261253309797002E-4</v>
      </c>
    </row>
    <row r="385" spans="5:7" x14ac:dyDescent="0.35">
      <c r="E385" s="17" t="s">
        <v>80</v>
      </c>
      <c r="F385">
        <v>1</v>
      </c>
      <c r="G385" s="27">
        <v>8.8261253309797002E-4</v>
      </c>
    </row>
    <row r="386" spans="5:7" x14ac:dyDescent="0.35">
      <c r="E386" s="17" t="s">
        <v>286</v>
      </c>
      <c r="F386">
        <v>1</v>
      </c>
      <c r="G386" s="27">
        <v>8.8261253309797002E-4</v>
      </c>
    </row>
    <row r="387" spans="5:7" x14ac:dyDescent="0.35">
      <c r="E387" s="17" t="s">
        <v>395</v>
      </c>
      <c r="F387">
        <v>1</v>
      </c>
      <c r="G387" s="27">
        <v>8.8261253309797002E-4</v>
      </c>
    </row>
    <row r="388" spans="5:7" x14ac:dyDescent="0.35">
      <c r="E388" s="17" t="s">
        <v>287</v>
      </c>
      <c r="F388">
        <v>1</v>
      </c>
      <c r="G388" s="27">
        <v>8.8261253309797002E-4</v>
      </c>
    </row>
    <row r="389" spans="5:7" x14ac:dyDescent="0.35">
      <c r="E389" s="17" t="s">
        <v>44</v>
      </c>
      <c r="F389">
        <v>1</v>
      </c>
      <c r="G389" s="27">
        <v>8.8261253309797002E-4</v>
      </c>
    </row>
    <row r="390" spans="5:7" x14ac:dyDescent="0.35">
      <c r="E390" s="17" t="s">
        <v>145</v>
      </c>
      <c r="F390">
        <v>1</v>
      </c>
      <c r="G390" s="27">
        <v>8.8261253309797002E-4</v>
      </c>
    </row>
    <row r="391" spans="5:7" x14ac:dyDescent="0.35">
      <c r="E391" s="17" t="s">
        <v>82</v>
      </c>
      <c r="F391">
        <v>1</v>
      </c>
      <c r="G391" s="27">
        <v>8.8261253309797002E-4</v>
      </c>
    </row>
    <row r="392" spans="5:7" x14ac:dyDescent="0.35">
      <c r="E392" s="17" t="s">
        <v>289</v>
      </c>
      <c r="F392">
        <v>1</v>
      </c>
      <c r="G392" s="27">
        <v>8.8261253309797002E-4</v>
      </c>
    </row>
    <row r="393" spans="5:7" x14ac:dyDescent="0.35">
      <c r="E393" s="17" t="s">
        <v>30</v>
      </c>
      <c r="F393">
        <v>1</v>
      </c>
      <c r="G393" s="27">
        <v>8.8261253309797002E-4</v>
      </c>
    </row>
    <row r="394" spans="5:7" x14ac:dyDescent="0.35">
      <c r="E394" s="17" t="s">
        <v>66</v>
      </c>
      <c r="F394">
        <v>1</v>
      </c>
      <c r="G394" s="27">
        <v>8.8261253309797002E-4</v>
      </c>
    </row>
    <row r="395" spans="5:7" x14ac:dyDescent="0.35">
      <c r="E395" s="17" t="s">
        <v>403</v>
      </c>
      <c r="F395">
        <v>1</v>
      </c>
      <c r="G395" s="27">
        <v>8.8261253309797002E-4</v>
      </c>
    </row>
    <row r="396" spans="5:7" x14ac:dyDescent="0.35">
      <c r="E396" s="17" t="s">
        <v>291</v>
      </c>
      <c r="F396">
        <v>1</v>
      </c>
      <c r="G396" s="27">
        <v>8.8261253309797002E-4</v>
      </c>
    </row>
    <row r="397" spans="5:7" x14ac:dyDescent="0.35">
      <c r="E397" s="17" t="s">
        <v>405</v>
      </c>
      <c r="F397">
        <v>1</v>
      </c>
      <c r="G397" s="27">
        <v>8.8261253309797002E-4</v>
      </c>
    </row>
    <row r="398" spans="5:7" x14ac:dyDescent="0.35">
      <c r="E398" s="17" t="s">
        <v>292</v>
      </c>
      <c r="F398">
        <v>1</v>
      </c>
      <c r="G398" s="27">
        <v>8.8261253309797002E-4</v>
      </c>
    </row>
    <row r="399" spans="5:7" x14ac:dyDescent="0.35">
      <c r="E399" s="17" t="s">
        <v>407</v>
      </c>
      <c r="F399">
        <v>1</v>
      </c>
      <c r="G399" s="27">
        <v>8.8261253309797002E-4</v>
      </c>
    </row>
    <row r="400" spans="5:7" x14ac:dyDescent="0.35">
      <c r="E400" s="17" t="s">
        <v>293</v>
      </c>
      <c r="F400">
        <v>1</v>
      </c>
      <c r="G400" s="27">
        <v>8.8261253309797002E-4</v>
      </c>
    </row>
    <row r="401" spans="5:7" x14ac:dyDescent="0.35">
      <c r="E401" s="17" t="s">
        <v>169</v>
      </c>
      <c r="F401">
        <v>1</v>
      </c>
      <c r="G401" s="27">
        <v>8.8261253309797002E-4</v>
      </c>
    </row>
    <row r="402" spans="5:7" x14ac:dyDescent="0.35">
      <c r="E402" s="17" t="s">
        <v>294</v>
      </c>
      <c r="F402">
        <v>1</v>
      </c>
      <c r="G402" s="27">
        <v>8.8261253309797002E-4</v>
      </c>
    </row>
    <row r="403" spans="5:7" x14ac:dyDescent="0.35">
      <c r="E403" s="17" t="s">
        <v>411</v>
      </c>
      <c r="F403">
        <v>1</v>
      </c>
      <c r="G403" s="27">
        <v>8.8261253309797002E-4</v>
      </c>
    </row>
    <row r="404" spans="5:7" x14ac:dyDescent="0.35">
      <c r="E404" s="17" t="s">
        <v>295</v>
      </c>
      <c r="F404">
        <v>1</v>
      </c>
      <c r="G404" s="27">
        <v>8.8261253309797002E-4</v>
      </c>
    </row>
    <row r="405" spans="5:7" x14ac:dyDescent="0.35">
      <c r="E405" s="17" t="s">
        <v>85</v>
      </c>
      <c r="F405">
        <v>1</v>
      </c>
      <c r="G405" s="27">
        <v>8.8261253309797002E-4</v>
      </c>
    </row>
    <row r="406" spans="5:7" x14ac:dyDescent="0.35">
      <c r="E406" s="17" t="s">
        <v>146</v>
      </c>
      <c r="F406">
        <v>1</v>
      </c>
      <c r="G406" s="27">
        <v>8.8261253309797002E-4</v>
      </c>
    </row>
    <row r="407" spans="5:7" x14ac:dyDescent="0.35">
      <c r="E407" s="17" t="s">
        <v>116</v>
      </c>
      <c r="F407">
        <v>1</v>
      </c>
      <c r="G407" s="27">
        <v>8.8261253309797002E-4</v>
      </c>
    </row>
    <row r="408" spans="5:7" x14ac:dyDescent="0.35">
      <c r="E408" s="17" t="s">
        <v>108</v>
      </c>
      <c r="F408">
        <v>1</v>
      </c>
      <c r="G408" s="27">
        <v>8.8261253309797002E-4</v>
      </c>
    </row>
    <row r="409" spans="5:7" x14ac:dyDescent="0.35">
      <c r="E409" s="17" t="s">
        <v>417</v>
      </c>
      <c r="F409">
        <v>1</v>
      </c>
      <c r="G409" s="27">
        <v>8.8261253309797002E-4</v>
      </c>
    </row>
    <row r="410" spans="5:7" x14ac:dyDescent="0.35">
      <c r="E410" s="17" t="s">
        <v>298</v>
      </c>
      <c r="F410">
        <v>1</v>
      </c>
      <c r="G410" s="27">
        <v>8.8261253309797002E-4</v>
      </c>
    </row>
    <row r="411" spans="5:7" x14ac:dyDescent="0.35">
      <c r="E411" s="17" t="s">
        <v>419</v>
      </c>
      <c r="F411">
        <v>1</v>
      </c>
      <c r="G411" s="27">
        <v>8.8261253309797002E-4</v>
      </c>
    </row>
    <row r="412" spans="5:7" x14ac:dyDescent="0.35">
      <c r="E412" s="17" t="s">
        <v>20</v>
      </c>
      <c r="F412">
        <v>1</v>
      </c>
      <c r="G412" s="27">
        <v>8.8261253309797002E-4</v>
      </c>
    </row>
    <row r="413" spans="5:7" x14ac:dyDescent="0.35">
      <c r="E413" s="17" t="s">
        <v>117</v>
      </c>
      <c r="F413">
        <v>1</v>
      </c>
      <c r="G413" s="27">
        <v>8.8261253309797002E-4</v>
      </c>
    </row>
    <row r="414" spans="5:7" x14ac:dyDescent="0.35">
      <c r="E414" s="17" t="s">
        <v>300</v>
      </c>
      <c r="F414">
        <v>1</v>
      </c>
      <c r="G414" s="27">
        <v>8.8261253309797002E-4</v>
      </c>
    </row>
    <row r="415" spans="5:7" x14ac:dyDescent="0.35">
      <c r="E415" s="17" t="s">
        <v>423</v>
      </c>
      <c r="F415">
        <v>1</v>
      </c>
      <c r="G415" s="27">
        <v>8.8261253309797002E-4</v>
      </c>
    </row>
    <row r="416" spans="5:7" x14ac:dyDescent="0.35">
      <c r="E416" s="17" t="s">
        <v>149</v>
      </c>
      <c r="F416">
        <v>1</v>
      </c>
      <c r="G416" s="27">
        <v>8.8261253309797002E-4</v>
      </c>
    </row>
    <row r="417" spans="5:7" x14ac:dyDescent="0.35">
      <c r="E417" s="17" t="s">
        <v>425</v>
      </c>
      <c r="F417">
        <v>1</v>
      </c>
      <c r="G417" s="27">
        <v>8.8261253309797002E-4</v>
      </c>
    </row>
    <row r="418" spans="5:7" x14ac:dyDescent="0.35">
      <c r="E418" s="17" t="s">
        <v>302</v>
      </c>
      <c r="F418">
        <v>1</v>
      </c>
      <c r="G418" s="27">
        <v>8.8261253309797002E-4</v>
      </c>
    </row>
    <row r="419" spans="5:7" x14ac:dyDescent="0.35">
      <c r="E419" s="17" t="s">
        <v>427</v>
      </c>
      <c r="F419">
        <v>1</v>
      </c>
      <c r="G419" s="27">
        <v>8.8261253309797002E-4</v>
      </c>
    </row>
    <row r="420" spans="5:7" x14ac:dyDescent="0.35">
      <c r="E420" s="17" t="s">
        <v>303</v>
      </c>
      <c r="F420">
        <v>1</v>
      </c>
      <c r="G420" s="27">
        <v>8.8261253309797002E-4</v>
      </c>
    </row>
    <row r="421" spans="5:7" x14ac:dyDescent="0.35">
      <c r="E421" s="17" t="s">
        <v>429</v>
      </c>
      <c r="F421">
        <v>1</v>
      </c>
      <c r="G421" s="27">
        <v>8.8261253309797002E-4</v>
      </c>
    </row>
    <row r="422" spans="5:7" x14ac:dyDescent="0.35">
      <c r="E422" s="17" t="s">
        <v>304</v>
      </c>
      <c r="F422">
        <v>1</v>
      </c>
      <c r="G422" s="27">
        <v>8.8261253309797002E-4</v>
      </c>
    </row>
    <row r="423" spans="5:7" x14ac:dyDescent="0.35">
      <c r="E423" s="17" t="s">
        <v>431</v>
      </c>
      <c r="F423">
        <v>1</v>
      </c>
      <c r="G423" s="27">
        <v>8.8261253309797002E-4</v>
      </c>
    </row>
    <row r="424" spans="5:7" x14ac:dyDescent="0.35">
      <c r="E424" s="17" t="s">
        <v>305</v>
      </c>
      <c r="F424">
        <v>1</v>
      </c>
      <c r="G424" s="27">
        <v>8.8261253309797002E-4</v>
      </c>
    </row>
    <row r="425" spans="5:7" x14ac:dyDescent="0.35">
      <c r="E425" s="17" t="s">
        <v>433</v>
      </c>
      <c r="F425">
        <v>1</v>
      </c>
      <c r="G425" s="27">
        <v>8.8261253309797002E-4</v>
      </c>
    </row>
    <row r="426" spans="5:7" x14ac:dyDescent="0.35">
      <c r="E426" s="17" t="s">
        <v>306</v>
      </c>
      <c r="F426">
        <v>1</v>
      </c>
      <c r="G426" s="27">
        <v>8.8261253309797002E-4</v>
      </c>
    </row>
    <row r="427" spans="5:7" x14ac:dyDescent="0.35">
      <c r="E427" s="17" t="s">
        <v>175</v>
      </c>
      <c r="F427">
        <v>1</v>
      </c>
      <c r="G427" s="27">
        <v>8.8261253309797002E-4</v>
      </c>
    </row>
    <row r="428" spans="5:7" x14ac:dyDescent="0.35">
      <c r="E428" s="17" t="s">
        <v>307</v>
      </c>
      <c r="F428">
        <v>1</v>
      </c>
      <c r="G428" s="27">
        <v>8.8261253309797002E-4</v>
      </c>
    </row>
    <row r="429" spans="5:7" x14ac:dyDescent="0.35">
      <c r="E429" s="17" t="s">
        <v>176</v>
      </c>
      <c r="F429">
        <v>1</v>
      </c>
      <c r="G429" s="27">
        <v>8.8261253309797002E-4</v>
      </c>
    </row>
    <row r="430" spans="5:7" x14ac:dyDescent="0.35">
      <c r="E430" s="17" t="s">
        <v>308</v>
      </c>
      <c r="F430">
        <v>1</v>
      </c>
      <c r="G430" s="27">
        <v>8.8261253309797002E-4</v>
      </c>
    </row>
    <row r="431" spans="5:7" x14ac:dyDescent="0.35">
      <c r="E431" s="17" t="s">
        <v>439</v>
      </c>
      <c r="F431">
        <v>1</v>
      </c>
      <c r="G431" s="27">
        <v>8.8261253309797002E-4</v>
      </c>
    </row>
    <row r="432" spans="5:7" x14ac:dyDescent="0.35">
      <c r="E432" s="17" t="s">
        <v>150</v>
      </c>
      <c r="F432">
        <v>1</v>
      </c>
      <c r="G432" s="27">
        <v>8.8261253309797002E-4</v>
      </c>
    </row>
    <row r="433" spans="5:7" x14ac:dyDescent="0.35">
      <c r="E433" s="17" t="s">
        <v>441</v>
      </c>
      <c r="F433">
        <v>1</v>
      </c>
      <c r="G433" s="27">
        <v>8.8261253309797002E-4</v>
      </c>
    </row>
    <row r="434" spans="5:7" x14ac:dyDescent="0.35">
      <c r="E434" s="17" t="s">
        <v>310</v>
      </c>
      <c r="F434">
        <v>1</v>
      </c>
      <c r="G434" s="27">
        <v>8.8261253309797002E-4</v>
      </c>
    </row>
    <row r="435" spans="5:7" x14ac:dyDescent="0.35">
      <c r="E435" s="17" t="s">
        <v>443</v>
      </c>
      <c r="F435">
        <v>1</v>
      </c>
      <c r="G435" s="27">
        <v>8.8261253309797002E-4</v>
      </c>
    </row>
    <row r="436" spans="5:7" x14ac:dyDescent="0.35">
      <c r="E436" s="17" t="s">
        <v>311</v>
      </c>
      <c r="F436">
        <v>1</v>
      </c>
      <c r="G436" s="27">
        <v>8.8261253309797002E-4</v>
      </c>
    </row>
    <row r="437" spans="5:7" x14ac:dyDescent="0.35">
      <c r="E437" s="17" t="s">
        <v>445</v>
      </c>
      <c r="F437">
        <v>1</v>
      </c>
      <c r="G437" s="27">
        <v>8.8261253309797002E-4</v>
      </c>
    </row>
    <row r="438" spans="5:7" x14ac:dyDescent="0.35">
      <c r="E438" s="17" t="s">
        <v>312</v>
      </c>
      <c r="F438">
        <v>1</v>
      </c>
      <c r="G438" s="27">
        <v>8.8261253309797002E-4</v>
      </c>
    </row>
    <row r="439" spans="5:7" x14ac:dyDescent="0.35">
      <c r="E439" s="17" t="s">
        <v>22</v>
      </c>
      <c r="F439">
        <v>1</v>
      </c>
      <c r="G439" s="27">
        <v>8.8261253309797002E-4</v>
      </c>
    </row>
    <row r="440" spans="5:7" x14ac:dyDescent="0.35">
      <c r="E440" s="17" t="s">
        <v>68</v>
      </c>
      <c r="F440">
        <v>1</v>
      </c>
      <c r="G440" s="27">
        <v>8.8261253309797002E-4</v>
      </c>
    </row>
    <row r="441" spans="5:7" x14ac:dyDescent="0.35">
      <c r="E441" s="17" t="s">
        <v>449</v>
      </c>
      <c r="F441">
        <v>1</v>
      </c>
      <c r="G441" s="27">
        <v>8.8261253309797002E-4</v>
      </c>
    </row>
    <row r="442" spans="5:7" x14ac:dyDescent="0.35">
      <c r="E442" s="17" t="s">
        <v>26</v>
      </c>
      <c r="F442">
        <v>1</v>
      </c>
      <c r="G442" s="27">
        <v>8.8261253309797002E-4</v>
      </c>
    </row>
    <row r="443" spans="5:7" x14ac:dyDescent="0.35">
      <c r="E443" s="17" t="s">
        <v>119</v>
      </c>
      <c r="F443">
        <v>1</v>
      </c>
      <c r="G443" s="27">
        <v>8.8261253309797002E-4</v>
      </c>
    </row>
    <row r="444" spans="5:7" x14ac:dyDescent="0.35">
      <c r="E444" s="17" t="s">
        <v>315</v>
      </c>
      <c r="F444">
        <v>1</v>
      </c>
      <c r="G444" s="27">
        <v>8.8261253309797002E-4</v>
      </c>
    </row>
    <row r="445" spans="5:7" x14ac:dyDescent="0.35">
      <c r="E445" s="17" t="s">
        <v>453</v>
      </c>
      <c r="F445">
        <v>1</v>
      </c>
      <c r="G445" s="27">
        <v>8.8261253309797002E-4</v>
      </c>
    </row>
    <row r="446" spans="5:7" x14ac:dyDescent="0.35">
      <c r="E446" s="17" t="s">
        <v>316</v>
      </c>
      <c r="F446">
        <v>1</v>
      </c>
      <c r="G446" s="27">
        <v>8.8261253309797002E-4</v>
      </c>
    </row>
    <row r="447" spans="5:7" x14ac:dyDescent="0.35">
      <c r="E447" s="17" t="s">
        <v>455</v>
      </c>
      <c r="F447">
        <v>1</v>
      </c>
      <c r="G447" s="27">
        <v>8.8261253309797002E-4</v>
      </c>
    </row>
    <row r="448" spans="5:7" x14ac:dyDescent="0.35">
      <c r="E448" s="17" t="s">
        <v>70</v>
      </c>
      <c r="F448">
        <v>1</v>
      </c>
      <c r="G448" s="27">
        <v>8.8261253309797002E-4</v>
      </c>
    </row>
    <row r="449" spans="5:7" x14ac:dyDescent="0.35">
      <c r="E449" s="17" t="s">
        <v>86</v>
      </c>
      <c r="F449">
        <v>1</v>
      </c>
      <c r="G449" s="27">
        <v>8.8261253309797002E-4</v>
      </c>
    </row>
    <row r="450" spans="5:7" x14ac:dyDescent="0.35">
      <c r="E450" s="17" t="s">
        <v>71</v>
      </c>
      <c r="F450">
        <v>1</v>
      </c>
      <c r="G450" s="27">
        <v>8.8261253309797002E-4</v>
      </c>
    </row>
    <row r="451" spans="5:7" x14ac:dyDescent="0.35">
      <c r="E451" s="17" t="s">
        <v>459</v>
      </c>
      <c r="F451">
        <v>1</v>
      </c>
      <c r="G451" s="27">
        <v>8.8261253309797002E-4</v>
      </c>
    </row>
    <row r="452" spans="5:7" x14ac:dyDescent="0.35">
      <c r="E452" s="17" t="s">
        <v>319</v>
      </c>
      <c r="F452">
        <v>1</v>
      </c>
      <c r="G452" s="27">
        <v>8.8261253309797002E-4</v>
      </c>
    </row>
    <row r="453" spans="5:7" x14ac:dyDescent="0.35">
      <c r="E453" s="17" t="s">
        <v>87</v>
      </c>
      <c r="F453">
        <v>1</v>
      </c>
      <c r="G453" s="27">
        <v>8.8261253309797002E-4</v>
      </c>
    </row>
    <row r="454" spans="5:7" x14ac:dyDescent="0.35">
      <c r="E454" s="17" t="s">
        <v>320</v>
      </c>
      <c r="F454">
        <v>1</v>
      </c>
      <c r="G454" s="27">
        <v>8.8261253309797002E-4</v>
      </c>
    </row>
    <row r="455" spans="5:7" x14ac:dyDescent="0.35">
      <c r="E455" s="17" t="s">
        <v>321</v>
      </c>
      <c r="F455">
        <v>1</v>
      </c>
      <c r="G455" s="27">
        <v>8.8261253309797002E-4</v>
      </c>
    </row>
    <row r="456" spans="5:7" x14ac:dyDescent="0.35">
      <c r="E456" s="17" t="s">
        <v>465</v>
      </c>
      <c r="F456">
        <v>1133</v>
      </c>
      <c r="G456" s="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C46F-C68B-4FAC-BB26-184011330C2E}">
  <dimension ref="A3:V34"/>
  <sheetViews>
    <sheetView zoomScale="58" workbookViewId="0">
      <selection activeCell="A3" sqref="A3:C12"/>
    </sheetView>
  </sheetViews>
  <sheetFormatPr defaultRowHeight="14.5" x14ac:dyDescent="0.35"/>
  <cols>
    <col min="1" max="1" width="19.1796875" bestFit="1" customWidth="1"/>
    <col min="2" max="2" width="9.81640625" bestFit="1" customWidth="1"/>
    <col min="3" max="3" width="8.36328125" bestFit="1" customWidth="1"/>
    <col min="9" max="9" width="16.81640625" bestFit="1" customWidth="1"/>
    <col min="10" max="10" width="20.26953125" bestFit="1" customWidth="1"/>
    <col min="11" max="11" width="9.1796875" bestFit="1" customWidth="1"/>
    <col min="15" max="15" width="16.81640625" bestFit="1" customWidth="1"/>
    <col min="16" max="16" width="20.26953125" bestFit="1" customWidth="1"/>
    <col min="20" max="22" width="12.90625" bestFit="1" customWidth="1"/>
  </cols>
  <sheetData>
    <row r="3" spans="1:22" x14ac:dyDescent="0.35">
      <c r="A3" s="16" t="s">
        <v>640</v>
      </c>
      <c r="B3" t="s">
        <v>639</v>
      </c>
      <c r="C3" t="s">
        <v>638</v>
      </c>
      <c r="I3" s="16" t="s">
        <v>640</v>
      </c>
      <c r="J3" t="s">
        <v>466</v>
      </c>
      <c r="O3" s="16" t="s">
        <v>640</v>
      </c>
      <c r="P3" t="s">
        <v>466</v>
      </c>
      <c r="T3" s="7"/>
      <c r="U3" s="8"/>
      <c r="V3" s="9"/>
    </row>
    <row r="4" spans="1:22" x14ac:dyDescent="0.35">
      <c r="A4" s="17" t="s">
        <v>7</v>
      </c>
      <c r="B4">
        <v>9009.1399999999976</v>
      </c>
      <c r="C4" s="27">
        <v>0.24018685708557541</v>
      </c>
      <c r="I4" s="17" t="s">
        <v>467</v>
      </c>
      <c r="J4">
        <v>206</v>
      </c>
      <c r="O4" s="17" t="s">
        <v>3</v>
      </c>
      <c r="P4">
        <v>1044</v>
      </c>
      <c r="T4" s="10"/>
      <c r="U4" s="11"/>
      <c r="V4" s="12"/>
    </row>
    <row r="5" spans="1:22" x14ac:dyDescent="0.35">
      <c r="A5" s="17" t="s">
        <v>14</v>
      </c>
      <c r="B5">
        <v>8601.939999999986</v>
      </c>
      <c r="C5" s="27">
        <v>0.22933076114242779</v>
      </c>
      <c r="I5" s="17" t="s">
        <v>468</v>
      </c>
      <c r="J5">
        <v>196</v>
      </c>
      <c r="O5" s="17" t="s">
        <v>21</v>
      </c>
      <c r="P5">
        <v>89</v>
      </c>
      <c r="T5" s="10"/>
      <c r="U5" s="11"/>
      <c r="V5" s="12"/>
    </row>
    <row r="6" spans="1:22" x14ac:dyDescent="0.35">
      <c r="A6" s="17" t="s">
        <v>43</v>
      </c>
      <c r="B6">
        <v>7333.1399999999994</v>
      </c>
      <c r="C6" s="27">
        <v>0.19550410462802409</v>
      </c>
      <c r="I6" s="17" t="s">
        <v>469</v>
      </c>
      <c r="J6">
        <v>267</v>
      </c>
      <c r="O6" s="17" t="s">
        <v>465</v>
      </c>
      <c r="P6">
        <v>1133</v>
      </c>
      <c r="T6" s="10"/>
      <c r="U6" s="11"/>
      <c r="V6" s="12"/>
    </row>
    <row r="7" spans="1:22" x14ac:dyDescent="0.35">
      <c r="A7" s="17" t="s">
        <v>11</v>
      </c>
      <c r="B7">
        <v>4644.5400000000163</v>
      </c>
      <c r="C7" s="27">
        <v>0.12382507822147761</v>
      </c>
      <c r="I7" s="17" t="s">
        <v>470</v>
      </c>
      <c r="J7">
        <v>227</v>
      </c>
      <c r="T7" s="10"/>
      <c r="U7" s="11"/>
      <c r="V7" s="12"/>
    </row>
    <row r="8" spans="1:22" x14ac:dyDescent="0.35">
      <c r="A8" s="17" t="s">
        <v>9</v>
      </c>
      <c r="B8">
        <v>2778.4800000000009</v>
      </c>
      <c r="C8" s="27">
        <v>7.4075258978673883E-2</v>
      </c>
      <c r="I8" s="17" t="s">
        <v>471</v>
      </c>
      <c r="J8">
        <v>237</v>
      </c>
      <c r="T8" s="10"/>
      <c r="U8" s="11"/>
      <c r="V8" s="12"/>
    </row>
    <row r="9" spans="1:22" x14ac:dyDescent="0.35">
      <c r="A9" s="17" t="s">
        <v>28</v>
      </c>
      <c r="B9">
        <v>2745.0800000000027</v>
      </c>
      <c r="C9" s="27">
        <v>7.3184803171942286E-2</v>
      </c>
      <c r="I9" s="17" t="s">
        <v>465</v>
      </c>
      <c r="J9">
        <v>1133</v>
      </c>
      <c r="T9" s="10"/>
      <c r="U9" s="11"/>
      <c r="V9" s="12"/>
    </row>
    <row r="10" spans="1:22" x14ac:dyDescent="0.35">
      <c r="A10" s="17" t="s">
        <v>18</v>
      </c>
      <c r="B10">
        <v>1295.9399999999998</v>
      </c>
      <c r="C10" s="27">
        <v>3.4550218508257242E-2</v>
      </c>
      <c r="T10" s="10"/>
      <c r="U10" s="11"/>
      <c r="V10" s="12"/>
    </row>
    <row r="11" spans="1:22" x14ac:dyDescent="0.35">
      <c r="A11" s="17" t="s">
        <v>35</v>
      </c>
      <c r="B11">
        <v>1100.6199999999992</v>
      </c>
      <c r="C11" s="27">
        <v>2.9342918263621821E-2</v>
      </c>
      <c r="T11" s="10"/>
      <c r="U11" s="11"/>
      <c r="V11" s="12"/>
    </row>
    <row r="12" spans="1:22" x14ac:dyDescent="0.35">
      <c r="A12" s="17" t="s">
        <v>465</v>
      </c>
      <c r="B12">
        <v>37508.879999999997</v>
      </c>
      <c r="C12" s="27">
        <v>1</v>
      </c>
      <c r="T12" s="10"/>
      <c r="U12" s="11"/>
      <c r="V12" s="12"/>
    </row>
    <row r="13" spans="1:22" x14ac:dyDescent="0.35">
      <c r="T13" s="10"/>
      <c r="U13" s="11"/>
      <c r="V13" s="12"/>
    </row>
    <row r="14" spans="1:22" x14ac:dyDescent="0.35">
      <c r="T14" s="10"/>
      <c r="U14" s="11"/>
      <c r="V14" s="12"/>
    </row>
    <row r="15" spans="1:22" x14ac:dyDescent="0.35">
      <c r="T15" s="10"/>
      <c r="U15" s="11"/>
      <c r="V15" s="12"/>
    </row>
    <row r="16" spans="1:22" x14ac:dyDescent="0.35">
      <c r="T16" s="10"/>
      <c r="U16" s="11"/>
      <c r="V16" s="12"/>
    </row>
    <row r="17" spans="1:22" x14ac:dyDescent="0.35">
      <c r="T17" s="10"/>
      <c r="U17" s="11"/>
      <c r="V17" s="12"/>
    </row>
    <row r="18" spans="1:22" x14ac:dyDescent="0.35">
      <c r="T18" s="10"/>
      <c r="U18" s="11"/>
      <c r="V18" s="12"/>
    </row>
    <row r="19" spans="1:22" x14ac:dyDescent="0.35">
      <c r="T19" s="10"/>
      <c r="U19" s="11"/>
      <c r="V19" s="12"/>
    </row>
    <row r="20" spans="1:22" x14ac:dyDescent="0.35">
      <c r="T20" s="13"/>
      <c r="U20" s="14"/>
      <c r="V20" s="15"/>
    </row>
    <row r="30" spans="1:22" x14ac:dyDescent="0.35">
      <c r="A30" s="28" t="s">
        <v>641</v>
      </c>
      <c r="I30" s="28" t="s">
        <v>641</v>
      </c>
      <c r="O30" s="28" t="s">
        <v>641</v>
      </c>
    </row>
    <row r="31" spans="1:22" x14ac:dyDescent="0.35">
      <c r="A31" t="s">
        <v>642</v>
      </c>
      <c r="I31" t="s">
        <v>645</v>
      </c>
      <c r="O31" t="s">
        <v>647</v>
      </c>
    </row>
    <row r="33" spans="1:15" x14ac:dyDescent="0.35">
      <c r="A33" s="29" t="s">
        <v>643</v>
      </c>
      <c r="I33" s="29" t="s">
        <v>643</v>
      </c>
      <c r="O33" s="29" t="s">
        <v>643</v>
      </c>
    </row>
    <row r="34" spans="1:15" x14ac:dyDescent="0.35">
      <c r="A34" t="s">
        <v>644</v>
      </c>
      <c r="I34" t="s">
        <v>646</v>
      </c>
      <c r="O34" t="s">
        <v>646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368C-71DB-44B9-BD04-CD90C2829E89}">
  <dimension ref="A2:BJ49"/>
  <sheetViews>
    <sheetView zoomScale="37" workbookViewId="0">
      <selection activeCell="S10" sqref="S10"/>
    </sheetView>
  </sheetViews>
  <sheetFormatPr defaultRowHeight="14.5" x14ac:dyDescent="0.35"/>
  <cols>
    <col min="1" max="1" width="18.08984375" bestFit="1" customWidth="1"/>
    <col min="2" max="3" width="15.26953125" bestFit="1" customWidth="1"/>
    <col min="7" max="7" width="14.7265625" bestFit="1" customWidth="1"/>
    <col min="8" max="9" width="15.26953125" bestFit="1" customWidth="1"/>
    <col min="13" max="13" width="14.7265625" bestFit="1" customWidth="1"/>
    <col min="14" max="15" width="15.26953125" bestFit="1" customWidth="1"/>
    <col min="19" max="19" width="14.7265625" bestFit="1" customWidth="1"/>
    <col min="20" max="20" width="15.36328125" bestFit="1" customWidth="1"/>
    <col min="21" max="21" width="15.26953125" bestFit="1" customWidth="1"/>
    <col min="23" max="23" width="8.36328125" customWidth="1"/>
    <col min="25" max="25" width="18.08984375" bestFit="1" customWidth="1"/>
    <col min="36" max="36" width="3.36328125" bestFit="1" customWidth="1"/>
    <col min="37" max="37" width="18.08984375" bestFit="1" customWidth="1"/>
    <col min="38" max="42" width="7.36328125" bestFit="1" customWidth="1"/>
    <col min="43" max="43" width="12.6328125" bestFit="1" customWidth="1"/>
    <col min="44" max="44" width="14.36328125" bestFit="1" customWidth="1"/>
    <col min="45" max="45" width="14" bestFit="1" customWidth="1"/>
    <col min="46" max="46" width="15.26953125" bestFit="1" customWidth="1"/>
    <col min="49" max="49" width="24.36328125" bestFit="1" customWidth="1"/>
    <col min="50" max="50" width="12.54296875" bestFit="1" customWidth="1"/>
    <col min="52" max="52" width="3.36328125" bestFit="1" customWidth="1"/>
    <col min="53" max="53" width="5.90625" bestFit="1" customWidth="1"/>
    <col min="54" max="54" width="8.26953125" bestFit="1" customWidth="1"/>
    <col min="55" max="55" width="18.08984375" bestFit="1" customWidth="1"/>
    <col min="56" max="56" width="10.453125" bestFit="1" customWidth="1"/>
    <col min="57" max="57" width="9.81640625" bestFit="1" customWidth="1"/>
    <col min="58" max="58" width="12.54296875" bestFit="1" customWidth="1"/>
    <col min="59" max="59" width="7.54296875" bestFit="1" customWidth="1"/>
    <col min="60" max="60" width="6.81640625" bestFit="1" customWidth="1"/>
    <col min="61" max="61" width="8.1796875" bestFit="1" customWidth="1"/>
    <col min="62" max="62" width="9.26953125" bestFit="1" customWidth="1"/>
  </cols>
  <sheetData>
    <row r="2" spans="1:62" x14ac:dyDescent="0.35">
      <c r="A2" s="16" t="s">
        <v>640</v>
      </c>
      <c r="B2" t="s">
        <v>648</v>
      </c>
      <c r="C2" s="18" t="s">
        <v>648</v>
      </c>
      <c r="D2" t="s">
        <v>649</v>
      </c>
      <c r="G2" s="16" t="s">
        <v>640</v>
      </c>
      <c r="H2" t="s">
        <v>648</v>
      </c>
      <c r="I2" s="18" t="s">
        <v>648</v>
      </c>
      <c r="J2" t="s">
        <v>649</v>
      </c>
      <c r="M2" s="16" t="s">
        <v>640</v>
      </c>
      <c r="N2" t="s">
        <v>648</v>
      </c>
      <c r="O2" s="18" t="s">
        <v>648</v>
      </c>
      <c r="P2" t="s">
        <v>649</v>
      </c>
      <c r="S2" s="16" t="s">
        <v>640</v>
      </c>
      <c r="T2" t="s">
        <v>648</v>
      </c>
      <c r="U2" s="18" t="s">
        <v>648</v>
      </c>
      <c r="V2" t="s">
        <v>649</v>
      </c>
    </row>
    <row r="3" spans="1:62" x14ac:dyDescent="0.35">
      <c r="A3" s="17" t="s">
        <v>9</v>
      </c>
      <c r="B3" s="30">
        <v>37.547027027027042</v>
      </c>
      <c r="C3" s="30">
        <v>37.547027027027042</v>
      </c>
      <c r="D3" s="33">
        <f>(C3-$C$11)/$C$11</f>
        <v>0.13415227598428114</v>
      </c>
      <c r="G3" s="17" t="s">
        <v>467</v>
      </c>
      <c r="H3" s="30">
        <v>34.22427184466013</v>
      </c>
      <c r="I3" s="30">
        <v>34.22427184466013</v>
      </c>
      <c r="J3" s="32">
        <f>(I3-$I$8)/$I$8</f>
        <v>3.3784533155885227E-2</v>
      </c>
      <c r="M3" s="17" t="s">
        <v>472</v>
      </c>
      <c r="N3" s="30">
        <v>33.445033112582763</v>
      </c>
      <c r="O3" s="30">
        <v>33.445033112582763</v>
      </c>
      <c r="P3" s="32">
        <f>(O3-$O$10)/$O$10</f>
        <v>1.0246707354531497E-2</v>
      </c>
      <c r="S3" s="17" t="s">
        <v>683</v>
      </c>
      <c r="T3" s="30">
        <v>34.18707692307688</v>
      </c>
      <c r="U3" s="50">
        <v>34.18707692307688</v>
      </c>
      <c r="V3" s="32">
        <f>(U3-$U$7)/$U$7</f>
        <v>3.2661016640490363E-2</v>
      </c>
      <c r="Z3" s="54" t="s">
        <v>657</v>
      </c>
      <c r="AA3" s="54"/>
      <c r="AB3" s="54"/>
      <c r="AC3" s="54"/>
      <c r="AD3" s="54"/>
      <c r="BB3" s="52" t="s">
        <v>688</v>
      </c>
      <c r="BC3" s="52"/>
      <c r="BD3" s="52"/>
      <c r="BE3" s="52"/>
      <c r="BF3" s="52"/>
      <c r="BG3" s="52"/>
      <c r="BH3" s="52"/>
      <c r="BI3" s="52"/>
    </row>
    <row r="4" spans="1:62" x14ac:dyDescent="0.35">
      <c r="A4" s="17" t="s">
        <v>43</v>
      </c>
      <c r="B4" s="30">
        <v>37.413979591836728</v>
      </c>
      <c r="C4" s="30">
        <v>37.413979591836728</v>
      </c>
      <c r="D4" s="33">
        <f t="shared" ref="D4:D11" si="0">(C4-$C$11)/$C$11</f>
        <v>0.13013342114055818</v>
      </c>
      <c r="G4" s="17" t="s">
        <v>468</v>
      </c>
      <c r="H4" s="30">
        <v>34.288571428571437</v>
      </c>
      <c r="I4" s="30">
        <v>34.288571428571437</v>
      </c>
      <c r="J4" s="32">
        <f t="shared" ref="J4:J8" si="1">(I4-$I$8)/$I$8</f>
        <v>3.5726777994214476E-2</v>
      </c>
      <c r="M4" s="17" t="s">
        <v>473</v>
      </c>
      <c r="N4" s="30">
        <v>32.911788079470199</v>
      </c>
      <c r="O4" s="30">
        <v>32.911788079470199</v>
      </c>
      <c r="P4" s="32">
        <f t="shared" ref="P4:P10" si="2">(O4-$O$10)/$O$10</f>
        <v>-5.8605883716148126E-3</v>
      </c>
      <c r="S4" s="17" t="s">
        <v>684</v>
      </c>
      <c r="T4" s="30">
        <v>33.281257861635204</v>
      </c>
      <c r="U4" s="50">
        <v>33.281257861635204</v>
      </c>
      <c r="V4" s="32">
        <f t="shared" ref="V4:V6" si="3">(U4-$U$7)/$U$7</f>
        <v>5.2996825613757627E-3</v>
      </c>
      <c r="Y4" s="37"/>
      <c r="Z4" s="37" t="s">
        <v>658</v>
      </c>
      <c r="AA4" s="37" t="s">
        <v>659</v>
      </c>
      <c r="AB4" s="37" t="s">
        <v>469</v>
      </c>
      <c r="AC4" s="37" t="s">
        <v>660</v>
      </c>
      <c r="AD4" s="37" t="s">
        <v>661</v>
      </c>
      <c r="AE4" s="37" t="s">
        <v>662</v>
      </c>
      <c r="AK4" s="37"/>
      <c r="AL4" s="37" t="s">
        <v>658</v>
      </c>
      <c r="AM4" s="37" t="s">
        <v>659</v>
      </c>
      <c r="AN4" s="37" t="s">
        <v>469</v>
      </c>
      <c r="AO4" s="37" t="s">
        <v>660</v>
      </c>
      <c r="AP4" s="37" t="s">
        <v>661</v>
      </c>
      <c r="AQ4" s="37" t="s">
        <v>663</v>
      </c>
      <c r="AR4" s="37" t="s">
        <v>664</v>
      </c>
      <c r="AS4" s="37" t="s">
        <v>665</v>
      </c>
      <c r="AT4" s="37" t="s">
        <v>648</v>
      </c>
      <c r="AW4" s="37" t="s">
        <v>666</v>
      </c>
      <c r="AX4" s="37" t="s">
        <v>667</v>
      </c>
      <c r="BA4" s="6"/>
      <c r="BB4" s="38" t="s">
        <v>7</v>
      </c>
      <c r="BC4" s="38" t="s">
        <v>14</v>
      </c>
      <c r="BD4" s="38" t="s">
        <v>43</v>
      </c>
      <c r="BE4" s="38" t="s">
        <v>11</v>
      </c>
      <c r="BF4" s="38" t="s">
        <v>9</v>
      </c>
      <c r="BG4" s="38" t="s">
        <v>28</v>
      </c>
      <c r="BH4" s="38" t="s">
        <v>18</v>
      </c>
      <c r="BI4" s="38" t="s">
        <v>35</v>
      </c>
      <c r="BJ4" s="38" t="s">
        <v>687</v>
      </c>
    </row>
    <row r="5" spans="1:62" x14ac:dyDescent="0.35">
      <c r="A5" s="17" t="s">
        <v>7</v>
      </c>
      <c r="B5" s="30">
        <v>37.074650205761309</v>
      </c>
      <c r="C5" s="30">
        <v>37.074650205761309</v>
      </c>
      <c r="D5" s="33">
        <f t="shared" si="0"/>
        <v>0.11988357645248839</v>
      </c>
      <c r="G5" s="17" t="s">
        <v>469</v>
      </c>
      <c r="H5" s="30">
        <v>33.945393258426975</v>
      </c>
      <c r="I5" s="30">
        <v>33.945393258426975</v>
      </c>
      <c r="J5" s="32">
        <f t="shared" si="1"/>
        <v>2.536067623981185E-2</v>
      </c>
      <c r="M5" s="17" t="s">
        <v>474</v>
      </c>
      <c r="N5" s="30">
        <v>32.93232432432432</v>
      </c>
      <c r="O5" s="30">
        <v>32.93232432432432</v>
      </c>
      <c r="P5" s="32">
        <f t="shared" si="2"/>
        <v>-5.2402668525580202E-3</v>
      </c>
      <c r="S5" s="17" t="s">
        <v>685</v>
      </c>
      <c r="T5" s="30">
        <v>32.362915451895098</v>
      </c>
      <c r="U5" s="50">
        <v>32.362915451895098</v>
      </c>
      <c r="V5" s="32">
        <f t="shared" si="3"/>
        <v>-2.243993403702817E-2</v>
      </c>
      <c r="X5" s="53" t="s">
        <v>640</v>
      </c>
      <c r="Y5" s="38" t="s">
        <v>9</v>
      </c>
      <c r="Z5" s="35">
        <f t="shared" ref="Z5:AD12" si="4">AVERAGEIFS(Revenue,coffees,$Y5,Monthdata,Z$4)</f>
        <v>38.818181818181827</v>
      </c>
      <c r="AA5" s="35">
        <f t="shared" si="4"/>
        <v>38.924615384615386</v>
      </c>
      <c r="AB5" s="35">
        <f t="shared" si="4"/>
        <v>37.811428571428578</v>
      </c>
      <c r="AC5" s="35">
        <f t="shared" si="4"/>
        <v>37.720000000000013</v>
      </c>
      <c r="AD5" s="35">
        <f t="shared" si="4"/>
        <v>32.82</v>
      </c>
      <c r="AE5" s="35">
        <f t="shared" ref="AE5:AE12" si="5">AVERAGEIFS(Revenue,coffees,$Y5)</f>
        <v>37.547027027027042</v>
      </c>
      <c r="AJ5" s="53" t="s">
        <v>640</v>
      </c>
      <c r="AK5" s="38" t="s">
        <v>7</v>
      </c>
      <c r="AL5" s="35">
        <f t="shared" ref="AL5:AP12" si="6">SUMIFS(Revenue,coffees,$AK5,Monthdata,AL$4)</f>
        <v>1874.5000000000011</v>
      </c>
      <c r="AM5" s="35">
        <f t="shared" si="6"/>
        <v>1193.1200000000003</v>
      </c>
      <c r="AN5" s="35">
        <f t="shared" si="6"/>
        <v>2198.0000000000005</v>
      </c>
      <c r="AO5" s="35">
        <f t="shared" si="6"/>
        <v>1886.0000000000011</v>
      </c>
      <c r="AP5" s="35">
        <f t="shared" si="6"/>
        <v>1857.5199999999991</v>
      </c>
      <c r="AQ5" s="35">
        <f t="shared" ref="AQ5:AQ12" si="7">SUMIFS(Revenue,coffees,$AK5)</f>
        <v>9009.1399999999976</v>
      </c>
      <c r="AR5" s="39">
        <f t="shared" ref="AR5:AR12" si="8">COUNTIFS(coffees,$AK5)</f>
        <v>243</v>
      </c>
      <c r="AS5" s="35">
        <f t="shared" ref="AS5:AS12" si="9">AQ5/AR5</f>
        <v>37.074650205761309</v>
      </c>
      <c r="AT5" s="35">
        <f t="shared" ref="AT5:AT12" si="10">AVERAGEIF(coffees,$AK5,Revenue)</f>
        <v>37.074650205761309</v>
      </c>
      <c r="AW5" s="6" t="s">
        <v>668</v>
      </c>
      <c r="AX5" s="6">
        <f>COUNTA(AK5:AK12)</f>
        <v>8</v>
      </c>
      <c r="AZ5" s="51" t="s">
        <v>462</v>
      </c>
      <c r="BA5" s="37" t="s">
        <v>685</v>
      </c>
      <c r="BB5" s="6">
        <f t="shared" ref="BB5:BI8" si="11">SUMIFS(Revenue,hour,$BA5,coffees,BB$4)</f>
        <v>3338.5199999999995</v>
      </c>
      <c r="BC5" s="6">
        <f t="shared" si="11"/>
        <v>2597.7400000000016</v>
      </c>
      <c r="BD5" s="6">
        <f t="shared" si="11"/>
        <v>1505.6399999999999</v>
      </c>
      <c r="BE5" s="6">
        <f t="shared" si="11"/>
        <v>1711.0999999999995</v>
      </c>
      <c r="BF5" s="6">
        <f t="shared" si="11"/>
        <v>553.38000000000022</v>
      </c>
      <c r="BG5" s="6">
        <f t="shared" si="11"/>
        <v>904.9399999999996</v>
      </c>
      <c r="BH5" s="6">
        <f t="shared" si="11"/>
        <v>256.5</v>
      </c>
      <c r="BI5" s="6">
        <f t="shared" si="11"/>
        <v>232.66000000000003</v>
      </c>
      <c r="BJ5" s="48">
        <f>SUM(BB5:BI5)</f>
        <v>11100.48</v>
      </c>
    </row>
    <row r="6" spans="1:62" x14ac:dyDescent="0.35">
      <c r="A6" s="17" t="s">
        <v>18</v>
      </c>
      <c r="B6" s="30">
        <v>37.026857142857139</v>
      </c>
      <c r="C6" s="30">
        <v>37.026857142857139</v>
      </c>
      <c r="D6" s="33">
        <f t="shared" si="0"/>
        <v>0.11843993056728937</v>
      </c>
      <c r="G6" s="17" t="s">
        <v>470</v>
      </c>
      <c r="H6" s="30">
        <v>34.179559471365657</v>
      </c>
      <c r="I6" s="30">
        <v>34.179559471365657</v>
      </c>
      <c r="J6" s="32">
        <f t="shared" si="1"/>
        <v>3.2433943137131306E-2</v>
      </c>
      <c r="M6" s="17" t="s">
        <v>475</v>
      </c>
      <c r="N6" s="30">
        <v>32.286060606060587</v>
      </c>
      <c r="O6" s="30">
        <v>32.286060606060587</v>
      </c>
      <c r="P6" s="32">
        <f t="shared" si="2"/>
        <v>-2.4761425383359476E-2</v>
      </c>
      <c r="S6" s="17" t="s">
        <v>686</v>
      </c>
      <c r="T6" s="30">
        <v>32.698954248366</v>
      </c>
      <c r="U6" s="50">
        <v>32.698954248366</v>
      </c>
      <c r="V6" s="32">
        <f t="shared" si="3"/>
        <v>-1.2289485492535973E-2</v>
      </c>
      <c r="X6" s="53"/>
      <c r="Y6" s="38" t="s">
        <v>43</v>
      </c>
      <c r="Z6" s="35">
        <f t="shared" si="4"/>
        <v>39.025000000000006</v>
      </c>
      <c r="AA6" s="35">
        <f t="shared" si="4"/>
        <v>38.591627906976768</v>
      </c>
      <c r="AB6" s="35">
        <f t="shared" si="4"/>
        <v>37.789818181818198</v>
      </c>
      <c r="AC6" s="35">
        <f t="shared" si="4"/>
        <v>37.72000000000002</v>
      </c>
      <c r="AD6" s="35">
        <f t="shared" si="4"/>
        <v>33.738750000000017</v>
      </c>
      <c r="AE6" s="35">
        <f t="shared" si="5"/>
        <v>37.413979591836728</v>
      </c>
      <c r="AJ6" s="53"/>
      <c r="AK6" s="38" t="s">
        <v>14</v>
      </c>
      <c r="AL6" s="35">
        <f t="shared" si="6"/>
        <v>1153.9999999999993</v>
      </c>
      <c r="AM6" s="35">
        <f t="shared" si="6"/>
        <v>1407.7399999999993</v>
      </c>
      <c r="AN6" s="35">
        <f t="shared" si="6"/>
        <v>1908.2799999999991</v>
      </c>
      <c r="AO6" s="35">
        <f t="shared" si="6"/>
        <v>2268.12</v>
      </c>
      <c r="AP6" s="35">
        <f t="shared" si="6"/>
        <v>1863.8000000000015</v>
      </c>
      <c r="AQ6" s="35">
        <f t="shared" si="7"/>
        <v>8601.939999999986</v>
      </c>
      <c r="AR6" s="39">
        <f t="shared" si="8"/>
        <v>268</v>
      </c>
      <c r="AS6" s="35">
        <f t="shared" si="9"/>
        <v>32.096791044776069</v>
      </c>
      <c r="AT6" s="35">
        <f t="shared" si="10"/>
        <v>32.096791044776069</v>
      </c>
      <c r="AW6" s="6" t="s">
        <v>663</v>
      </c>
      <c r="AX6" s="6">
        <f>SUM(Revenue)</f>
        <v>37508.879999999815</v>
      </c>
      <c r="AZ6" s="51"/>
      <c r="BA6" s="37" t="s">
        <v>686</v>
      </c>
      <c r="BB6" s="6">
        <f t="shared" si="11"/>
        <v>1916.0199999999998</v>
      </c>
      <c r="BC6" s="6">
        <f t="shared" si="11"/>
        <v>2501.54</v>
      </c>
      <c r="BD6" s="6">
        <f t="shared" si="11"/>
        <v>1747.8400000000006</v>
      </c>
      <c r="BE6" s="6">
        <f t="shared" si="11"/>
        <v>1730.2000000000007</v>
      </c>
      <c r="BF6" s="6">
        <f t="shared" si="11"/>
        <v>574.28000000000009</v>
      </c>
      <c r="BG6" s="6">
        <f t="shared" si="11"/>
        <v>798.77999999999952</v>
      </c>
      <c r="BH6" s="6">
        <f t="shared" si="11"/>
        <v>326.74</v>
      </c>
      <c r="BI6" s="6">
        <f t="shared" si="11"/>
        <v>410.47999999999996</v>
      </c>
      <c r="BJ6" s="48">
        <f t="shared" ref="BJ6:BJ9" si="12">SUM(BB6:BI6)</f>
        <v>10005.879999999999</v>
      </c>
    </row>
    <row r="7" spans="1:62" x14ac:dyDescent="0.35">
      <c r="A7" s="17" t="s">
        <v>14</v>
      </c>
      <c r="B7" s="30">
        <v>32.096791044776069</v>
      </c>
      <c r="C7" s="30">
        <v>32.096791044776069</v>
      </c>
      <c r="D7" s="33">
        <f t="shared" si="0"/>
        <v>-3.0478535916535428E-2</v>
      </c>
      <c r="G7" s="17" t="s">
        <v>471</v>
      </c>
      <c r="H7" s="30">
        <v>29.181181434599182</v>
      </c>
      <c r="I7" s="30">
        <v>29.181181434599182</v>
      </c>
      <c r="J7" s="32">
        <f t="shared" si="1"/>
        <v>-0.11854796609760042</v>
      </c>
      <c r="M7" s="17" t="s">
        <v>476</v>
      </c>
      <c r="N7" s="30">
        <v>33.333780487804866</v>
      </c>
      <c r="O7" s="30">
        <v>33.333780487804866</v>
      </c>
      <c r="P7" s="32">
        <f t="shared" si="2"/>
        <v>6.8861904883025507E-3</v>
      </c>
      <c r="S7" s="17" t="s">
        <v>465</v>
      </c>
      <c r="T7" s="30">
        <v>33.105807590467741</v>
      </c>
      <c r="U7" s="31">
        <v>33.105807590467741</v>
      </c>
      <c r="V7" s="32"/>
      <c r="X7" s="53"/>
      <c r="Y7" s="38" t="s">
        <v>7</v>
      </c>
      <c r="Z7" s="35">
        <f t="shared" si="4"/>
        <v>39.052083333333357</v>
      </c>
      <c r="AA7" s="35">
        <f t="shared" si="4"/>
        <v>38.487741935483882</v>
      </c>
      <c r="AB7" s="35">
        <f t="shared" si="4"/>
        <v>37.896551724137936</v>
      </c>
      <c r="AC7" s="35">
        <f t="shared" si="4"/>
        <v>37.72000000000002</v>
      </c>
      <c r="AD7" s="35">
        <f t="shared" si="4"/>
        <v>33.16999999999998</v>
      </c>
      <c r="AE7" s="35">
        <f t="shared" si="5"/>
        <v>37.074650205761309</v>
      </c>
      <c r="AJ7" s="53"/>
      <c r="AK7" s="38" t="s">
        <v>43</v>
      </c>
      <c r="AL7" s="35">
        <f t="shared" si="6"/>
        <v>780.50000000000011</v>
      </c>
      <c r="AM7" s="35">
        <f t="shared" si="6"/>
        <v>1659.440000000001</v>
      </c>
      <c r="AN7" s="35">
        <f t="shared" si="6"/>
        <v>2078.440000000001</v>
      </c>
      <c r="AO7" s="35">
        <f t="shared" si="6"/>
        <v>1735.120000000001</v>
      </c>
      <c r="AP7" s="35">
        <f t="shared" si="6"/>
        <v>1079.6400000000006</v>
      </c>
      <c r="AQ7" s="35">
        <f t="shared" si="7"/>
        <v>7333.1399999999994</v>
      </c>
      <c r="AR7" s="39">
        <f t="shared" si="8"/>
        <v>196</v>
      </c>
      <c r="AS7" s="35">
        <f t="shared" si="9"/>
        <v>37.413979591836728</v>
      </c>
      <c r="AT7" s="35">
        <f t="shared" si="10"/>
        <v>37.413979591836728</v>
      </c>
      <c r="AW7" s="42" t="s">
        <v>669</v>
      </c>
      <c r="AX7" s="42" t="str">
        <f>INDEX($AK$5:$AK$12,MATCH(MAX($AQ$5:$AQ$12),$AQ$5:$AQ$12,0))</f>
        <v>Latte</v>
      </c>
      <c r="AZ7" s="51"/>
      <c r="BA7" s="37" t="s">
        <v>683</v>
      </c>
      <c r="BB7" s="6">
        <f t="shared" si="11"/>
        <v>2577.4600000000014</v>
      </c>
      <c r="BC7" s="6">
        <f t="shared" si="11"/>
        <v>2056.5199999999991</v>
      </c>
      <c r="BD7" s="6">
        <f t="shared" si="11"/>
        <v>2847.04</v>
      </c>
      <c r="BE7" s="6">
        <f t="shared" si="11"/>
        <v>925.51999999999941</v>
      </c>
      <c r="BF7" s="6">
        <f t="shared" si="11"/>
        <v>1145.9600000000003</v>
      </c>
      <c r="BG7" s="6">
        <f t="shared" si="11"/>
        <v>781.75999999999954</v>
      </c>
      <c r="BH7" s="6">
        <f t="shared" si="11"/>
        <v>424.36</v>
      </c>
      <c r="BI7" s="6">
        <f t="shared" si="11"/>
        <v>352.17999999999995</v>
      </c>
      <c r="BJ7" s="48">
        <f t="shared" si="12"/>
        <v>11110.800000000001</v>
      </c>
    </row>
    <row r="8" spans="1:62" x14ac:dyDescent="0.35">
      <c r="A8" s="17" t="s">
        <v>28</v>
      </c>
      <c r="B8" s="30">
        <v>27.728080808080836</v>
      </c>
      <c r="C8" s="30">
        <v>27.728080808080836</v>
      </c>
      <c r="D8" s="33">
        <f t="shared" si="0"/>
        <v>-0.16244058592111185</v>
      </c>
      <c r="G8" s="17" t="s">
        <v>465</v>
      </c>
      <c r="H8" s="30">
        <v>33.10580759046762</v>
      </c>
      <c r="I8" s="31">
        <v>33.10580759046762</v>
      </c>
      <c r="J8" s="32">
        <f t="shared" si="1"/>
        <v>0</v>
      </c>
      <c r="M8" s="17" t="s">
        <v>477</v>
      </c>
      <c r="N8" s="30">
        <v>33.044907975460106</v>
      </c>
      <c r="O8" s="30">
        <v>33.044907975460106</v>
      </c>
      <c r="P8" s="32">
        <f t="shared" si="2"/>
        <v>-1.8395447638994017E-3</v>
      </c>
      <c r="U8" s="30"/>
      <c r="V8" s="32"/>
      <c r="X8" s="53"/>
      <c r="Y8" s="38" t="s">
        <v>18</v>
      </c>
      <c r="Z8" s="35">
        <f t="shared" si="4"/>
        <v>38.699999999999996</v>
      </c>
      <c r="AA8" s="35">
        <f t="shared" si="4"/>
        <v>38.803333333333335</v>
      </c>
      <c r="AB8" s="35">
        <f t="shared" si="4"/>
        <v>37.862222222222222</v>
      </c>
      <c r="AC8" s="35">
        <f t="shared" si="4"/>
        <v>37.975999999999999</v>
      </c>
      <c r="AD8" s="35">
        <f t="shared" si="4"/>
        <v>33.364444444444445</v>
      </c>
      <c r="AE8" s="35">
        <f t="shared" si="5"/>
        <v>37.026857142857139</v>
      </c>
      <c r="AJ8" s="53"/>
      <c r="AK8" s="38" t="s">
        <v>11</v>
      </c>
      <c r="AL8" s="35">
        <f t="shared" si="6"/>
        <v>1044.7999999999995</v>
      </c>
      <c r="AM8" s="35">
        <f t="shared" si="6"/>
        <v>1001.9399999999993</v>
      </c>
      <c r="AN8" s="35">
        <f t="shared" si="6"/>
        <v>1348.8000000000002</v>
      </c>
      <c r="AO8" s="35">
        <f t="shared" si="6"/>
        <v>390.88000000000017</v>
      </c>
      <c r="AP8" s="35">
        <f t="shared" si="6"/>
        <v>858.11999999999966</v>
      </c>
      <c r="AQ8" s="35">
        <f t="shared" si="7"/>
        <v>4644.5400000000163</v>
      </c>
      <c r="AR8" s="39">
        <f t="shared" si="8"/>
        <v>169</v>
      </c>
      <c r="AS8" s="35">
        <f t="shared" si="9"/>
        <v>27.482485207100687</v>
      </c>
      <c r="AT8" s="35">
        <f t="shared" si="10"/>
        <v>27.482485207100687</v>
      </c>
      <c r="AW8" s="43" t="s">
        <v>670</v>
      </c>
      <c r="AX8" s="43" t="str">
        <f>INDEX($AK$5:$AK$12,MATCH(MIN($AQ$5:$AQ$12),$AQ$5:$AQ$12,0))</f>
        <v>Espresso</v>
      </c>
      <c r="AZ8" s="51"/>
      <c r="BA8" s="37" t="s">
        <v>684</v>
      </c>
      <c r="BB8" s="6">
        <f t="shared" si="11"/>
        <v>1177.1400000000006</v>
      </c>
      <c r="BC8" s="6">
        <f t="shared" si="11"/>
        <v>1446.1400000000008</v>
      </c>
      <c r="BD8" s="6">
        <f t="shared" si="11"/>
        <v>1232.6200000000003</v>
      </c>
      <c r="BE8" s="6">
        <f t="shared" si="11"/>
        <v>277.72000000000008</v>
      </c>
      <c r="BF8" s="6">
        <f t="shared" si="11"/>
        <v>504.85999999999996</v>
      </c>
      <c r="BG8" s="6">
        <f t="shared" si="11"/>
        <v>259.60000000000008</v>
      </c>
      <c r="BH8" s="6">
        <f t="shared" si="11"/>
        <v>288.33999999999997</v>
      </c>
      <c r="BI8" s="6">
        <f t="shared" si="11"/>
        <v>105.30000000000001</v>
      </c>
      <c r="BJ8" s="48">
        <f t="shared" si="12"/>
        <v>5291.7200000000021</v>
      </c>
    </row>
    <row r="9" spans="1:62" x14ac:dyDescent="0.35">
      <c r="A9" s="17" t="s">
        <v>11</v>
      </c>
      <c r="B9" s="30">
        <v>27.482485207100687</v>
      </c>
      <c r="C9" s="30">
        <v>27.482485207100687</v>
      </c>
      <c r="D9" s="33">
        <f t="shared" si="0"/>
        <v>-0.16985909097672819</v>
      </c>
      <c r="M9" s="17" t="s">
        <v>478</v>
      </c>
      <c r="N9" s="30">
        <v>33.871818181818163</v>
      </c>
      <c r="O9" s="30">
        <v>33.871818181818163</v>
      </c>
      <c r="P9" s="32">
        <f t="shared" si="2"/>
        <v>2.3138254194738618E-2</v>
      </c>
      <c r="S9" s="17" t="s">
        <v>655</v>
      </c>
      <c r="U9" s="30"/>
      <c r="V9" s="32"/>
      <c r="X9" s="53"/>
      <c r="Y9" s="38" t="s">
        <v>14</v>
      </c>
      <c r="Z9" s="35">
        <f t="shared" si="4"/>
        <v>33.941176470588218</v>
      </c>
      <c r="AA9" s="35">
        <f t="shared" si="4"/>
        <v>33.517619047619029</v>
      </c>
      <c r="AB9" s="35">
        <f t="shared" si="4"/>
        <v>32.901379310344808</v>
      </c>
      <c r="AC9" s="35">
        <f t="shared" si="4"/>
        <v>32.871304347826083</v>
      </c>
      <c r="AD9" s="35">
        <f t="shared" si="4"/>
        <v>28.673846153846178</v>
      </c>
      <c r="AE9" s="35">
        <f t="shared" si="5"/>
        <v>32.096791044776069</v>
      </c>
      <c r="AJ9" s="53"/>
      <c r="AK9" s="38" t="s">
        <v>9</v>
      </c>
      <c r="AL9" s="35">
        <f t="shared" si="6"/>
        <v>854.00000000000023</v>
      </c>
      <c r="AM9" s="35">
        <f t="shared" si="6"/>
        <v>506.02</v>
      </c>
      <c r="AN9" s="35">
        <f t="shared" si="6"/>
        <v>529.36000000000013</v>
      </c>
      <c r="AO9" s="35">
        <f t="shared" si="6"/>
        <v>528.08000000000015</v>
      </c>
      <c r="AP9" s="35">
        <f t="shared" si="6"/>
        <v>361.02</v>
      </c>
      <c r="AQ9" s="35">
        <f t="shared" si="7"/>
        <v>2778.4800000000009</v>
      </c>
      <c r="AR9" s="39">
        <f t="shared" si="8"/>
        <v>74</v>
      </c>
      <c r="AS9" s="35">
        <f t="shared" si="9"/>
        <v>37.547027027027042</v>
      </c>
      <c r="AT9" s="35">
        <f t="shared" si="10"/>
        <v>37.547027027027042</v>
      </c>
      <c r="AW9" s="6" t="s">
        <v>671</v>
      </c>
      <c r="AX9" s="35">
        <f>AVERAGE(AT5:AT12)</f>
        <v>32.35393796006263</v>
      </c>
      <c r="BA9" s="46" t="s">
        <v>687</v>
      </c>
      <c r="BB9" s="47">
        <f>SUM(BB5:BB8)</f>
        <v>9009.1400000000012</v>
      </c>
      <c r="BC9" s="47">
        <f t="shared" ref="BC9:BI9" si="13">SUM(BC5:BC8)</f>
        <v>8601.9400000000023</v>
      </c>
      <c r="BD9" s="47">
        <f t="shared" si="13"/>
        <v>7333.1400000000012</v>
      </c>
      <c r="BE9" s="47">
        <f t="shared" si="13"/>
        <v>4644.54</v>
      </c>
      <c r="BF9" s="47">
        <f t="shared" si="13"/>
        <v>2778.4800000000009</v>
      </c>
      <c r="BG9" s="47">
        <f t="shared" si="13"/>
        <v>2745.0799999999986</v>
      </c>
      <c r="BH9" s="47">
        <f t="shared" si="13"/>
        <v>1295.94</v>
      </c>
      <c r="BI9" s="47">
        <f t="shared" si="13"/>
        <v>1100.6199999999999</v>
      </c>
      <c r="BJ9" s="48">
        <f t="shared" si="12"/>
        <v>37508.880000000005</v>
      </c>
    </row>
    <row r="10" spans="1:62" x14ac:dyDescent="0.35">
      <c r="A10" s="17" t="s">
        <v>35</v>
      </c>
      <c r="B10" s="30">
        <v>22.461632653061208</v>
      </c>
      <c r="C10" s="30">
        <v>22.461632653061208</v>
      </c>
      <c r="D10" s="33">
        <f t="shared" si="0"/>
        <v>-0.32151986953707662</v>
      </c>
      <c r="M10" s="17" t="s">
        <v>465</v>
      </c>
      <c r="N10" s="30">
        <v>33.105807590467812</v>
      </c>
      <c r="O10" s="31">
        <v>33.105807590467812</v>
      </c>
      <c r="P10" s="32">
        <f t="shared" si="2"/>
        <v>0</v>
      </c>
      <c r="S10" s="17" t="s">
        <v>693</v>
      </c>
      <c r="U10" s="30"/>
      <c r="V10" s="32"/>
      <c r="X10" s="53"/>
      <c r="Y10" s="38" t="s">
        <v>28</v>
      </c>
      <c r="Z10" s="35">
        <f t="shared" si="4"/>
        <v>28.973333333333319</v>
      </c>
      <c r="AA10" s="35">
        <f t="shared" si="4"/>
        <v>28.867368421052628</v>
      </c>
      <c r="AB10" s="35">
        <f t="shared" si="4"/>
        <v>27.920000000000012</v>
      </c>
      <c r="AC10" s="35">
        <f t="shared" si="4"/>
        <v>27.920000000000012</v>
      </c>
      <c r="AD10" s="35">
        <f t="shared" si="4"/>
        <v>23.020000000000003</v>
      </c>
      <c r="AE10" s="35">
        <f t="shared" si="5"/>
        <v>27.728080808080836</v>
      </c>
      <c r="AJ10" s="53"/>
      <c r="AK10" s="38" t="s">
        <v>28</v>
      </c>
      <c r="AL10" s="35">
        <f t="shared" si="6"/>
        <v>869.19999999999959</v>
      </c>
      <c r="AM10" s="35">
        <f t="shared" si="6"/>
        <v>548.4799999999999</v>
      </c>
      <c r="AN10" s="35">
        <f t="shared" si="6"/>
        <v>474.64000000000021</v>
      </c>
      <c r="AO10" s="35">
        <f t="shared" si="6"/>
        <v>530.48000000000025</v>
      </c>
      <c r="AP10" s="35">
        <f t="shared" si="6"/>
        <v>322.28000000000003</v>
      </c>
      <c r="AQ10" s="35">
        <f t="shared" si="7"/>
        <v>2745.0800000000027</v>
      </c>
      <c r="AR10" s="39">
        <f t="shared" si="8"/>
        <v>99</v>
      </c>
      <c r="AS10" s="35">
        <f t="shared" si="9"/>
        <v>27.728080808080836</v>
      </c>
      <c r="AT10" s="35">
        <f t="shared" si="10"/>
        <v>27.728080808080836</v>
      </c>
      <c r="AW10" s="44" t="s">
        <v>672</v>
      </c>
      <c r="AX10" s="44" t="str">
        <f>INDEX($AK$5:$AK$12,MATCH(MAX($AS$5:$AS$12),$AS$5:$AS$12,0))</f>
        <v>Hot Chocolate</v>
      </c>
    </row>
    <row r="11" spans="1:62" x14ac:dyDescent="0.35">
      <c r="A11" s="17" t="s">
        <v>465</v>
      </c>
      <c r="B11" s="30">
        <v>33.105807590468061</v>
      </c>
      <c r="C11" s="31">
        <v>33.105807590468061</v>
      </c>
      <c r="D11" s="33">
        <f t="shared" si="0"/>
        <v>0</v>
      </c>
      <c r="U11" s="30"/>
      <c r="V11" s="32"/>
      <c r="X11" s="53"/>
      <c r="Y11" s="38" t="s">
        <v>11</v>
      </c>
      <c r="Z11" s="35">
        <f t="shared" si="4"/>
        <v>29.022222222222208</v>
      </c>
      <c r="AA11" s="35">
        <f t="shared" si="4"/>
        <v>28.626857142857123</v>
      </c>
      <c r="AB11" s="35">
        <f t="shared" si="4"/>
        <v>28.100000000000005</v>
      </c>
      <c r="AC11" s="35">
        <f t="shared" si="4"/>
        <v>27.920000000000012</v>
      </c>
      <c r="AD11" s="35">
        <f t="shared" si="4"/>
        <v>23.836666666666659</v>
      </c>
      <c r="AE11" s="35">
        <f t="shared" si="5"/>
        <v>27.482485207100687</v>
      </c>
      <c r="AJ11" s="53"/>
      <c r="AK11" s="38" t="s">
        <v>18</v>
      </c>
      <c r="AL11" s="35">
        <f t="shared" si="6"/>
        <v>232.2</v>
      </c>
      <c r="AM11" s="35">
        <f t="shared" si="6"/>
        <v>232.82000000000002</v>
      </c>
      <c r="AN11" s="35">
        <f t="shared" si="6"/>
        <v>340.76</v>
      </c>
      <c r="AO11" s="35">
        <f t="shared" si="6"/>
        <v>189.88</v>
      </c>
      <c r="AP11" s="35">
        <f t="shared" si="6"/>
        <v>300.27999999999997</v>
      </c>
      <c r="AQ11" s="35">
        <f t="shared" si="7"/>
        <v>1295.9399999999998</v>
      </c>
      <c r="AR11" s="39">
        <f t="shared" si="8"/>
        <v>35</v>
      </c>
      <c r="AS11" s="35">
        <f t="shared" si="9"/>
        <v>37.026857142857139</v>
      </c>
      <c r="AT11" s="35">
        <f t="shared" si="10"/>
        <v>37.026857142857139</v>
      </c>
      <c r="AW11" s="45" t="s">
        <v>673</v>
      </c>
      <c r="AX11" s="45" t="str">
        <f>INDEX($AK$5:$AK$12,MATCH(MIN($AS$5:$AS$12),$AS$5:$AS$12,0))</f>
        <v>Espresso</v>
      </c>
    </row>
    <row r="12" spans="1:62" x14ac:dyDescent="0.35">
      <c r="U12" s="30"/>
      <c r="V12" s="32"/>
      <c r="X12" s="53"/>
      <c r="Y12" s="38" t="s">
        <v>35</v>
      </c>
      <c r="Z12" s="35">
        <f t="shared" si="4"/>
        <v>24.1</v>
      </c>
      <c r="AA12" s="35">
        <f t="shared" si="4"/>
        <v>24.428571428571427</v>
      </c>
      <c r="AB12" s="35">
        <f t="shared" si="4"/>
        <v>23.142500000000002</v>
      </c>
      <c r="AC12" s="35">
        <f t="shared" si="4"/>
        <v>23.020000000000003</v>
      </c>
      <c r="AD12" s="35">
        <f t="shared" si="4"/>
        <v>19.520000000000003</v>
      </c>
      <c r="AE12" s="35">
        <f t="shared" si="5"/>
        <v>22.461632653061208</v>
      </c>
      <c r="AJ12" s="53"/>
      <c r="AK12" s="38" t="s">
        <v>35</v>
      </c>
      <c r="AL12" s="35">
        <f t="shared" si="6"/>
        <v>241</v>
      </c>
      <c r="AM12" s="35">
        <f t="shared" si="6"/>
        <v>171</v>
      </c>
      <c r="AN12" s="35">
        <f t="shared" si="6"/>
        <v>185.14000000000001</v>
      </c>
      <c r="AO12" s="35">
        <f t="shared" si="6"/>
        <v>230.20000000000005</v>
      </c>
      <c r="AP12" s="35">
        <f t="shared" si="6"/>
        <v>273.28000000000003</v>
      </c>
      <c r="AQ12" s="35">
        <f t="shared" si="7"/>
        <v>1100.6199999999992</v>
      </c>
      <c r="AR12" s="39">
        <f t="shared" si="8"/>
        <v>49</v>
      </c>
      <c r="AS12" s="35">
        <f t="shared" si="9"/>
        <v>22.461632653061208</v>
      </c>
      <c r="AT12" s="35">
        <f t="shared" si="10"/>
        <v>22.461632653061208</v>
      </c>
      <c r="BA12" t="s">
        <v>689</v>
      </c>
    </row>
    <row r="13" spans="1:62" x14ac:dyDescent="0.35">
      <c r="A13" s="17" t="s">
        <v>650</v>
      </c>
      <c r="G13" t="s">
        <v>652</v>
      </c>
      <c r="M13" s="17" t="s">
        <v>655</v>
      </c>
      <c r="U13" s="30"/>
      <c r="V13" s="32"/>
      <c r="Y13" s="38" t="s">
        <v>662</v>
      </c>
      <c r="Z13" s="35">
        <f>AVERAGEIFS(Revenue,Monthdata,Z$4)</f>
        <v>34.22427184466013</v>
      </c>
      <c r="AA13" s="35">
        <f>AVERAGEIFS(Revenue,Monthdata,AA$4)</f>
        <v>34.288571428571437</v>
      </c>
      <c r="AB13" s="35">
        <f>AVERAGEIFS(Revenue,Monthdata,AB$4)</f>
        <v>33.945393258426975</v>
      </c>
      <c r="AC13" s="35">
        <f>AVERAGEIFS(Revenue,Monthdata,AC$4)</f>
        <v>34.179559471365657</v>
      </c>
      <c r="AD13" s="35">
        <f>AVERAGEIFS(Revenue,Monthdata,AD$4)</f>
        <v>29.181181434599182</v>
      </c>
      <c r="AE13" s="35"/>
      <c r="BA13" t="s">
        <v>690</v>
      </c>
    </row>
    <row r="14" spans="1:62" x14ac:dyDescent="0.35">
      <c r="A14" s="17" t="s">
        <v>651</v>
      </c>
      <c r="G14" t="s">
        <v>653</v>
      </c>
      <c r="M14" t="s">
        <v>656</v>
      </c>
      <c r="U14" s="30"/>
      <c r="V14" s="32"/>
      <c r="BA14" t="s">
        <v>691</v>
      </c>
    </row>
    <row r="15" spans="1:62" x14ac:dyDescent="0.35">
      <c r="G15" t="s">
        <v>654</v>
      </c>
      <c r="U15" s="30"/>
      <c r="V15" s="32"/>
      <c r="BA15" t="s">
        <v>692</v>
      </c>
    </row>
    <row r="16" spans="1:62" x14ac:dyDescent="0.35">
      <c r="U16" s="30"/>
      <c r="V16" s="32"/>
    </row>
    <row r="17" spans="21:62" x14ac:dyDescent="0.35">
      <c r="U17" s="30"/>
      <c r="V17" s="32"/>
    </row>
    <row r="18" spans="21:62" x14ac:dyDescent="0.35">
      <c r="U18" s="30"/>
      <c r="V18" s="32"/>
      <c r="Z18" s="54" t="s">
        <v>657</v>
      </c>
      <c r="AA18" s="54"/>
      <c r="AB18" s="54"/>
      <c r="AC18" s="54"/>
      <c r="AD18" s="54"/>
      <c r="BB18" s="52" t="s">
        <v>688</v>
      </c>
      <c r="BC18" s="52"/>
      <c r="BD18" s="52"/>
      <c r="BE18" s="52"/>
      <c r="BF18" s="52"/>
      <c r="BG18" s="52"/>
      <c r="BH18" s="52"/>
      <c r="BI18" s="52"/>
    </row>
    <row r="19" spans="21:62" x14ac:dyDescent="0.35">
      <c r="U19" s="31"/>
      <c r="V19" s="32"/>
      <c r="Y19" s="37"/>
      <c r="Z19" s="37" t="s">
        <v>658</v>
      </c>
      <c r="AA19" s="37" t="s">
        <v>659</v>
      </c>
      <c r="AB19" s="37" t="s">
        <v>469</v>
      </c>
      <c r="AC19" s="37" t="s">
        <v>660</v>
      </c>
      <c r="AD19" s="37" t="s">
        <v>661</v>
      </c>
      <c r="AE19" s="37" t="s">
        <v>662</v>
      </c>
      <c r="AJ19" s="53" t="s">
        <v>640</v>
      </c>
      <c r="BA19" s="6"/>
      <c r="BB19" s="38" t="s">
        <v>7</v>
      </c>
      <c r="BC19" s="38" t="s">
        <v>14</v>
      </c>
      <c r="BD19" s="38" t="s">
        <v>43</v>
      </c>
      <c r="BE19" s="38" t="s">
        <v>11</v>
      </c>
      <c r="BF19" s="38" t="s">
        <v>9</v>
      </c>
      <c r="BG19" s="38" t="s">
        <v>28</v>
      </c>
      <c r="BH19" s="38" t="s">
        <v>18</v>
      </c>
      <c r="BI19" s="38" t="s">
        <v>35</v>
      </c>
    </row>
    <row r="20" spans="21:62" x14ac:dyDescent="0.35">
      <c r="X20" s="53" t="s">
        <v>640</v>
      </c>
      <c r="Y20" s="38" t="s">
        <v>9</v>
      </c>
      <c r="Z20" s="36">
        <f>(Z5-$AE5)/$AE5</f>
        <v>3.3855005091076446E-2</v>
      </c>
      <c r="AA20" s="36">
        <f t="shared" ref="AA20:AE20" si="14">(AA5-$AE5)/$AE5</f>
        <v>3.6689678695379278E-2</v>
      </c>
      <c r="AB20" s="36">
        <f t="shared" si="14"/>
        <v>7.0418769563623642E-3</v>
      </c>
      <c r="AC20" s="36">
        <f t="shared" si="14"/>
        <v>4.6068353920128502E-3</v>
      </c>
      <c r="AD20" s="36">
        <f t="shared" si="14"/>
        <v>-0.12589617344735285</v>
      </c>
      <c r="AE20" s="36">
        <f t="shared" si="14"/>
        <v>0</v>
      </c>
      <c r="AJ20" s="53"/>
      <c r="AZ20" s="51" t="s">
        <v>462</v>
      </c>
      <c r="BA20" s="37" t="s">
        <v>685</v>
      </c>
      <c r="BB20" s="36">
        <f>(BB5)/$BJ5</f>
        <v>0.30075456196488798</v>
      </c>
      <c r="BC20" s="36">
        <f t="shared" ref="BC20:BI20" si="15">(BC5)/$BJ5</f>
        <v>0.23402051082475728</v>
      </c>
      <c r="BD20" s="36">
        <f t="shared" si="15"/>
        <v>0.1356373778431203</v>
      </c>
      <c r="BE20" s="36">
        <f t="shared" si="15"/>
        <v>0.15414648735910516</v>
      </c>
      <c r="BF20" s="36">
        <f t="shared" si="15"/>
        <v>4.9851898296289915E-2</v>
      </c>
      <c r="BG20" s="36">
        <f t="shared" si="15"/>
        <v>8.1522600824468813E-2</v>
      </c>
      <c r="BH20" s="36">
        <f t="shared" si="15"/>
        <v>2.3107108881778086E-2</v>
      </c>
      <c r="BI20" s="36">
        <f t="shared" si="15"/>
        <v>2.0959454005592553E-2</v>
      </c>
      <c r="BJ20" s="49">
        <f>SUM(BB20:BI20)</f>
        <v>1.0000000000000002</v>
      </c>
    </row>
    <row r="21" spans="21:62" x14ac:dyDescent="0.35">
      <c r="X21" s="53"/>
      <c r="Y21" s="38" t="s">
        <v>43</v>
      </c>
      <c r="Z21" s="36">
        <f t="shared" ref="Z21:AE21" si="16">(Z6-$AE6)/$AE6</f>
        <v>4.3059317018358086E-2</v>
      </c>
      <c r="AA21" s="36">
        <f t="shared" si="16"/>
        <v>3.1476157521532093E-2</v>
      </c>
      <c r="AB21" s="36">
        <f t="shared" si="16"/>
        <v>1.0045405329281602E-2</v>
      </c>
      <c r="AC21" s="36">
        <f t="shared" si="16"/>
        <v>8.1793065453550865E-3</v>
      </c>
      <c r="AD21" s="36">
        <f t="shared" si="16"/>
        <v>-9.8231453374679256E-2</v>
      </c>
      <c r="AE21" s="36">
        <f t="shared" si="16"/>
        <v>0</v>
      </c>
      <c r="AJ21" s="53"/>
      <c r="AZ21" s="51"/>
      <c r="BA21" s="37" t="s">
        <v>686</v>
      </c>
      <c r="BB21" s="36">
        <f t="shared" ref="BB21:BI21" si="17">(BB6)/$BJ6</f>
        <v>0.19148940423031258</v>
      </c>
      <c r="BC21" s="36">
        <f t="shared" si="17"/>
        <v>0.25000699588641878</v>
      </c>
      <c r="BD21" s="36">
        <f t="shared" si="17"/>
        <v>0.17468128740300712</v>
      </c>
      <c r="BE21" s="36">
        <f t="shared" si="17"/>
        <v>0.17291832402547311</v>
      </c>
      <c r="BF21" s="36">
        <f t="shared" si="17"/>
        <v>5.7394252179718337E-2</v>
      </c>
      <c r="BG21" s="36">
        <f t="shared" si="17"/>
        <v>7.9831059337109739E-2</v>
      </c>
      <c r="BH21" s="36">
        <f t="shared" si="17"/>
        <v>3.2654798978200825E-2</v>
      </c>
      <c r="BI21" s="36">
        <f t="shared" si="17"/>
        <v>4.1023877959759661E-2</v>
      </c>
      <c r="BJ21" s="49">
        <f t="shared" ref="BJ21:BJ23" si="18">SUM(BB21:BI21)</f>
        <v>1.0000000000000002</v>
      </c>
    </row>
    <row r="22" spans="21:62" x14ac:dyDescent="0.35">
      <c r="X22" s="53"/>
      <c r="Y22" s="38" t="s">
        <v>7</v>
      </c>
      <c r="Z22" s="36">
        <f t="shared" ref="Z22:AE22" si="19">(Z7-$AE7)/$AE7</f>
        <v>5.3336528236880308E-2</v>
      </c>
      <c r="AA22" s="36">
        <f t="shared" si="19"/>
        <v>3.8114769037065184E-2</v>
      </c>
      <c r="AB22" s="36">
        <f t="shared" si="19"/>
        <v>2.2168827320423537E-2</v>
      </c>
      <c r="AC22" s="36">
        <f t="shared" si="19"/>
        <v>1.7406766905609966E-2</v>
      </c>
      <c r="AD22" s="36">
        <f t="shared" si="19"/>
        <v>-0.1053185986675757</v>
      </c>
      <c r="AE22" s="36">
        <f t="shared" si="19"/>
        <v>0</v>
      </c>
      <c r="AJ22" s="53"/>
      <c r="AZ22" s="51"/>
      <c r="BA22" s="37" t="s">
        <v>683</v>
      </c>
      <c r="BB22" s="36">
        <f t="shared" ref="BB22:BI22" si="20">(BB7)/$BJ7</f>
        <v>0.23197789538107078</v>
      </c>
      <c r="BC22" s="36">
        <f t="shared" si="20"/>
        <v>0.18509198257551202</v>
      </c>
      <c r="BD22" s="36">
        <f t="shared" si="20"/>
        <v>0.25624077474169271</v>
      </c>
      <c r="BE22" s="36">
        <f t="shared" si="20"/>
        <v>8.3299132375706464E-2</v>
      </c>
      <c r="BF22" s="36">
        <f t="shared" si="20"/>
        <v>0.10313928790006122</v>
      </c>
      <c r="BG22" s="36">
        <f t="shared" si="20"/>
        <v>7.0360370090362487E-2</v>
      </c>
      <c r="BH22" s="36">
        <f t="shared" si="20"/>
        <v>3.8193469417143674E-2</v>
      </c>
      <c r="BI22" s="36">
        <f t="shared" si="20"/>
        <v>3.169708751845051E-2</v>
      </c>
      <c r="BJ22" s="49">
        <f t="shared" si="18"/>
        <v>0.99999999999999967</v>
      </c>
    </row>
    <row r="23" spans="21:62" x14ac:dyDescent="0.35">
      <c r="X23" s="53"/>
      <c r="Y23" s="38" t="s">
        <v>18</v>
      </c>
      <c r="Z23" s="36">
        <f t="shared" ref="Z23:AE23" si="21">(Z8-$AE8)/$AE8</f>
        <v>4.5187277188758729E-2</v>
      </c>
      <c r="AA23" s="36">
        <f t="shared" si="21"/>
        <v>4.7978044251019987E-2</v>
      </c>
      <c r="AB23" s="36">
        <f t="shared" si="21"/>
        <v>2.256105821085691E-2</v>
      </c>
      <c r="AC23" s="36">
        <f t="shared" si="21"/>
        <v>2.5633902804142246E-2</v>
      </c>
      <c r="AD23" s="36">
        <f t="shared" si="21"/>
        <v>-9.8912329617454761E-2</v>
      </c>
      <c r="AE23" s="36">
        <f t="shared" si="21"/>
        <v>0</v>
      </c>
      <c r="AJ23" s="53"/>
      <c r="AZ23" s="51"/>
      <c r="BA23" s="37" t="s">
        <v>684</v>
      </c>
      <c r="BB23" s="36">
        <f t="shared" ref="BB23:BI23" si="22">(BB8)/$BJ8</f>
        <v>0.22244941153349007</v>
      </c>
      <c r="BC23" s="36">
        <f t="shared" si="22"/>
        <v>0.2732835448587605</v>
      </c>
      <c r="BD23" s="36">
        <f t="shared" si="22"/>
        <v>0.23293371531373538</v>
      </c>
      <c r="BE23" s="36">
        <f t="shared" si="22"/>
        <v>5.2481990732691823E-2</v>
      </c>
      <c r="BF23" s="36">
        <f t="shared" si="22"/>
        <v>9.5405652604446139E-2</v>
      </c>
      <c r="BG23" s="36">
        <f t="shared" si="22"/>
        <v>4.9057773275985879E-2</v>
      </c>
      <c r="BH23" s="36">
        <f t="shared" si="22"/>
        <v>5.4488899639436678E-2</v>
      </c>
      <c r="BI23" s="36">
        <f t="shared" si="22"/>
        <v>1.9899012041453435E-2</v>
      </c>
      <c r="BJ23" s="49">
        <f t="shared" si="18"/>
        <v>0.99999999999999989</v>
      </c>
    </row>
    <row r="24" spans="21:62" x14ac:dyDescent="0.35">
      <c r="X24" s="53"/>
      <c r="Y24" s="38" t="s">
        <v>14</v>
      </c>
      <c r="Z24" s="36">
        <f t="shared" ref="Z24:AE24" si="23">(Z9-$AE9)/$AE9</f>
        <v>5.7463234353838405E-2</v>
      </c>
      <c r="AA24" s="36">
        <f t="shared" si="23"/>
        <v>4.4266979862904628E-2</v>
      </c>
      <c r="AB24" s="36">
        <f t="shared" si="23"/>
        <v>2.5067560942348178E-2</v>
      </c>
      <c r="AC24" s="36">
        <f t="shared" si="23"/>
        <v>2.4130552551796934E-2</v>
      </c>
      <c r="AD24" s="36">
        <f t="shared" si="23"/>
        <v>-0.10664445820003536</v>
      </c>
      <c r="AE24" s="36">
        <f t="shared" si="23"/>
        <v>0</v>
      </c>
      <c r="AJ24" s="53"/>
      <c r="BB24" s="49"/>
    </row>
    <row r="25" spans="21:62" x14ac:dyDescent="0.35">
      <c r="X25" s="53"/>
      <c r="Y25" s="38" t="s">
        <v>28</v>
      </c>
      <c r="Z25" s="36">
        <f t="shared" ref="Z25:AE25" si="24">(Z10-$AE10)/$AE10</f>
        <v>4.4909437976305103E-2</v>
      </c>
      <c r="AA25" s="36">
        <f t="shared" si="24"/>
        <v>4.1087863990924595E-2</v>
      </c>
      <c r="AB25" s="36">
        <f t="shared" si="24"/>
        <v>6.9214740554003566E-3</v>
      </c>
      <c r="AC25" s="36">
        <f t="shared" si="24"/>
        <v>6.9214740554003566E-3</v>
      </c>
      <c r="AD25" s="36">
        <f t="shared" si="24"/>
        <v>-0.16979468722223104</v>
      </c>
      <c r="AE25" s="36">
        <f t="shared" si="24"/>
        <v>0</v>
      </c>
      <c r="AJ25" s="53"/>
    </row>
    <row r="26" spans="21:62" x14ac:dyDescent="0.35">
      <c r="X26" s="53"/>
      <c r="Y26" s="38" t="s">
        <v>11</v>
      </c>
      <c r="Z26" s="36">
        <f t="shared" ref="Z26:AE26" si="25">(Z11-$AE11)/$AE11</f>
        <v>5.60261200367606E-2</v>
      </c>
      <c r="AA26" s="36">
        <f t="shared" si="25"/>
        <v>4.1640045546563691E-2</v>
      </c>
      <c r="AB26" s="36">
        <f t="shared" si="25"/>
        <v>2.2469394170355799E-2</v>
      </c>
      <c r="AC26" s="36">
        <f t="shared" si="25"/>
        <v>1.5919768157876921E-2</v>
      </c>
      <c r="AD26" s="36">
        <f t="shared" si="25"/>
        <v>-0.13265971082891925</v>
      </c>
      <c r="AE26" s="36">
        <f t="shared" si="25"/>
        <v>0</v>
      </c>
      <c r="AJ26" s="53"/>
      <c r="BC26" s="52" t="s">
        <v>688</v>
      </c>
      <c r="BD26" s="52"/>
      <c r="BE26" s="52"/>
      <c r="BF26" s="52"/>
      <c r="BG26" s="52"/>
      <c r="BH26" s="52"/>
      <c r="BI26" s="52"/>
      <c r="BJ26" s="52"/>
    </row>
    <row r="27" spans="21:62" x14ac:dyDescent="0.35">
      <c r="X27" s="53"/>
      <c r="Y27" s="38" t="s">
        <v>35</v>
      </c>
      <c r="Z27" s="36">
        <f t="shared" ref="Z27:AE27" si="26">(Z12-$AE12)/$AE12</f>
        <v>7.2940706147444995E-2</v>
      </c>
      <c r="AA27" s="36">
        <f t="shared" si="26"/>
        <v>8.7568824844179438E-2</v>
      </c>
      <c r="AB27" s="36">
        <f t="shared" si="26"/>
        <v>3.0312460249678271E-2</v>
      </c>
      <c r="AC27" s="36">
        <f t="shared" si="26"/>
        <v>2.485871599643924E-2</v>
      </c>
      <c r="AD27" s="36">
        <f t="shared" si="26"/>
        <v>-0.13096254838182039</v>
      </c>
      <c r="AE27" s="36">
        <f t="shared" si="26"/>
        <v>0</v>
      </c>
      <c r="BB27" s="6"/>
      <c r="BC27" s="38" t="s">
        <v>7</v>
      </c>
      <c r="BD27" s="38" t="s">
        <v>14</v>
      </c>
      <c r="BE27" s="38" t="s">
        <v>43</v>
      </c>
      <c r="BF27" s="38" t="s">
        <v>11</v>
      </c>
      <c r="BG27" s="38" t="s">
        <v>9</v>
      </c>
      <c r="BH27" s="38" t="s">
        <v>28</v>
      </c>
      <c r="BI27" s="38" t="s">
        <v>18</v>
      </c>
      <c r="BJ27" s="38" t="s">
        <v>35</v>
      </c>
    </row>
    <row r="28" spans="21:62" x14ac:dyDescent="0.35">
      <c r="BA28" s="51" t="s">
        <v>462</v>
      </c>
      <c r="BB28" s="37" t="s">
        <v>685</v>
      </c>
      <c r="BC28" s="36">
        <f>BB5/BB$9</f>
        <v>0.37057033190737398</v>
      </c>
      <c r="BD28" s="36">
        <f t="shared" ref="BD28:BJ28" si="27">BC5/BC$9</f>
        <v>0.30199466631945826</v>
      </c>
      <c r="BE28" s="36">
        <f t="shared" si="27"/>
        <v>0.20531995843526779</v>
      </c>
      <c r="BF28" s="36">
        <f t="shared" si="27"/>
        <v>0.36841108053757732</v>
      </c>
      <c r="BG28" s="36">
        <f t="shared" si="27"/>
        <v>0.19916645072125769</v>
      </c>
      <c r="BH28" s="36">
        <f t="shared" si="27"/>
        <v>0.32965888061550119</v>
      </c>
      <c r="BI28" s="36">
        <f t="shared" si="27"/>
        <v>0.19792582989953239</v>
      </c>
      <c r="BJ28" s="36">
        <f t="shared" si="27"/>
        <v>0.21138994384983015</v>
      </c>
    </row>
    <row r="29" spans="21:62" x14ac:dyDescent="0.35">
      <c r="BA29" s="51"/>
      <c r="BB29" s="37" t="s">
        <v>686</v>
      </c>
      <c r="BC29" s="36">
        <f t="shared" ref="BC29:BJ29" si="28">BB6/BB$9</f>
        <v>0.21267512770364314</v>
      </c>
      <c r="BD29" s="36">
        <f t="shared" si="28"/>
        <v>0.29081114260271512</v>
      </c>
      <c r="BE29" s="36">
        <f t="shared" si="28"/>
        <v>0.23834810190450478</v>
      </c>
      <c r="BF29" s="36">
        <f t="shared" si="28"/>
        <v>0.37252343612069239</v>
      </c>
      <c r="BG29" s="36">
        <f t="shared" si="28"/>
        <v>0.20668854913477869</v>
      </c>
      <c r="BH29" s="36">
        <f t="shared" si="28"/>
        <v>0.29098605505121888</v>
      </c>
      <c r="BI29" s="36">
        <f t="shared" si="28"/>
        <v>0.25212587002484682</v>
      </c>
      <c r="BJ29" s="36">
        <f t="shared" si="28"/>
        <v>0.37295342625065875</v>
      </c>
    </row>
    <row r="30" spans="21:62" x14ac:dyDescent="0.35">
      <c r="BA30" s="51"/>
      <c r="BB30" s="37" t="s">
        <v>683</v>
      </c>
      <c r="BC30" s="36">
        <f t="shared" ref="BC30:BJ30" si="29">BB7/BB$9</f>
        <v>0.28609390019469128</v>
      </c>
      <c r="BD30" s="36">
        <f t="shared" si="29"/>
        <v>0.2390763013924764</v>
      </c>
      <c r="BE30" s="36">
        <f t="shared" si="29"/>
        <v>0.38824296276901837</v>
      </c>
      <c r="BF30" s="36">
        <f t="shared" si="29"/>
        <v>0.19927054132379082</v>
      </c>
      <c r="BG30" s="36">
        <f t="shared" si="29"/>
        <v>0.41244133483055478</v>
      </c>
      <c r="BH30" s="36">
        <f t="shared" si="29"/>
        <v>0.28478587145001238</v>
      </c>
      <c r="BI30" s="36">
        <f t="shared" si="29"/>
        <v>0.32745343148602557</v>
      </c>
      <c r="BJ30" s="36">
        <f t="shared" si="29"/>
        <v>0.31998328215006089</v>
      </c>
    </row>
    <row r="31" spans="21:62" x14ac:dyDescent="0.35">
      <c r="BA31" s="51"/>
      <c r="BB31" s="37" t="s">
        <v>684</v>
      </c>
      <c r="BC31" s="36">
        <f t="shared" ref="BC31:BJ31" si="30">BB8/BB$9</f>
        <v>0.13066064019429161</v>
      </c>
      <c r="BD31" s="36">
        <f t="shared" si="30"/>
        <v>0.1681178896853501</v>
      </c>
      <c r="BE31" s="36">
        <f t="shared" si="30"/>
        <v>0.16808897689120897</v>
      </c>
      <c r="BF31" s="36">
        <f t="shared" si="30"/>
        <v>5.9794942017939362E-2</v>
      </c>
      <c r="BG31" s="36">
        <f t="shared" si="30"/>
        <v>0.1817036653134087</v>
      </c>
      <c r="BH31" s="36">
        <f t="shared" si="30"/>
        <v>9.4569192883267594E-2</v>
      </c>
      <c r="BI31" s="36">
        <f t="shared" si="30"/>
        <v>0.22249486858959516</v>
      </c>
      <c r="BJ31" s="36">
        <f t="shared" si="30"/>
        <v>9.5673347749450327E-2</v>
      </c>
    </row>
    <row r="32" spans="21:62" x14ac:dyDescent="0.35">
      <c r="BC32" s="49">
        <f>SUM(BC28:BC31)</f>
        <v>1</v>
      </c>
      <c r="BD32" s="49">
        <f t="shared" ref="BD32:BJ32" si="31">SUM(BD28:BD31)</f>
        <v>0.99999999999999989</v>
      </c>
      <c r="BE32" s="49">
        <f t="shared" si="31"/>
        <v>0.99999999999999989</v>
      </c>
      <c r="BF32" s="49">
        <f t="shared" si="31"/>
        <v>0.99999999999999989</v>
      </c>
      <c r="BG32" s="49">
        <f t="shared" si="31"/>
        <v>0.99999999999999978</v>
      </c>
      <c r="BH32" s="49">
        <f t="shared" si="31"/>
        <v>1</v>
      </c>
      <c r="BI32" s="49">
        <f t="shared" si="31"/>
        <v>1</v>
      </c>
      <c r="BJ32" s="49">
        <f t="shared" si="31"/>
        <v>1</v>
      </c>
    </row>
    <row r="44" spans="24:38" x14ac:dyDescent="0.35">
      <c r="X44" s="40" t="s">
        <v>674</v>
      </c>
    </row>
    <row r="45" spans="24:38" x14ac:dyDescent="0.35">
      <c r="X45" t="s">
        <v>675</v>
      </c>
      <c r="AL45" s="41" t="s">
        <v>641</v>
      </c>
    </row>
    <row r="46" spans="24:38" x14ac:dyDescent="0.35">
      <c r="X46" t="s">
        <v>676</v>
      </c>
      <c r="AL46" t="s">
        <v>681</v>
      </c>
    </row>
    <row r="47" spans="24:38" x14ac:dyDescent="0.35">
      <c r="X47" t="s">
        <v>677</v>
      </c>
      <c r="AL47" t="s">
        <v>682</v>
      </c>
    </row>
    <row r="48" spans="24:38" x14ac:dyDescent="0.35">
      <c r="X48" t="s">
        <v>678</v>
      </c>
      <c r="AL48" t="s">
        <v>680</v>
      </c>
    </row>
    <row r="49" spans="38:38" x14ac:dyDescent="0.35">
      <c r="AL49" t="s">
        <v>679</v>
      </c>
    </row>
  </sheetData>
  <sortState xmlns:xlrd2="http://schemas.microsoft.com/office/spreadsheetml/2017/richdata2" ref="BA5:BA20">
    <sortCondition ref="BA5:BA20"/>
  </sortState>
  <mergeCells count="12">
    <mergeCell ref="X5:X12"/>
    <mergeCell ref="Z3:AD3"/>
    <mergeCell ref="Z18:AD18"/>
    <mergeCell ref="X20:X27"/>
    <mergeCell ref="AJ5:AJ12"/>
    <mergeCell ref="AJ19:AJ26"/>
    <mergeCell ref="BA28:BA31"/>
    <mergeCell ref="AZ5:AZ8"/>
    <mergeCell ref="BB3:BI3"/>
    <mergeCell ref="BB18:BI18"/>
    <mergeCell ref="AZ20:AZ23"/>
    <mergeCell ref="BC26:BJ26"/>
  </mergeCells>
  <conditionalFormatting sqref="D3:D1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:AD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:AE2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:BI11 BJ5:BJ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:BI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8:BJ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5:BJ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DashBoard</vt:lpstr>
      <vt:lpstr>Raw data</vt:lpstr>
      <vt:lpstr>Main Data</vt:lpstr>
      <vt:lpstr>Sampling</vt:lpstr>
      <vt:lpstr>EDA Analysis 1</vt:lpstr>
      <vt:lpstr>EDA Analysis 2</vt:lpstr>
      <vt:lpstr>coffees</vt:lpstr>
      <vt:lpstr>hour</vt:lpstr>
      <vt:lpstr>Monthdata</vt:lpstr>
      <vt:lpstr>payments</vt:lpstr>
      <vt:lpstr>Revenue</vt:lpstr>
      <vt:lpstr>weekdata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kumjam prasanthi</dc:creator>
  <cp:lastModifiedBy>kumjam prasanthi</cp:lastModifiedBy>
  <dcterms:created xsi:type="dcterms:W3CDTF">2025-04-25T13:05:58Z</dcterms:created>
  <dcterms:modified xsi:type="dcterms:W3CDTF">2025-04-30T06:03:54Z</dcterms:modified>
</cp:coreProperties>
</file>